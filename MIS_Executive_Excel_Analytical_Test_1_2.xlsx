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crea\Downloads\"/>
    </mc:Choice>
  </mc:AlternateContent>
  <xr:revisionPtr revIDLastSave="0" documentId="13_ncr:1_{4BA3E002-419B-4B61-B879-EE2DFFE7EF8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ndidate Test" sheetId="1" r:id="rId1"/>
    <sheet name="Sheet1" sheetId="6" r:id="rId2"/>
    <sheet name="Sheet2" sheetId="7" r:id="rId3"/>
    <sheet name="Transaction Data" sheetId="3" r:id="rId4"/>
    <sheet name="Agent Master" sheetId="4" r:id="rId5"/>
    <sheet name="Product Mapping" sheetId="5" r:id="rId6"/>
  </sheets>
  <definedNames>
    <definedName name="_xlnm._FilterDatabase" localSheetId="4" hidden="1">'Agent Master'!$A$1:$D$1</definedName>
    <definedName name="_xlnm._FilterDatabase" localSheetId="3" hidden="1">'Transaction Data'!$A$1:$P$501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3" l="1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5" i="3"/>
  <c r="Q4" i="3" a="1"/>
  <c r="Q4" i="3" s="1"/>
  <c r="O3" i="3" a="1"/>
  <c r="O3" i="3" s="1"/>
  <c r="O4" i="3" a="1"/>
  <c r="O4" i="3" s="1"/>
  <c r="O5" i="3" a="1"/>
  <c r="O5" i="3" s="1"/>
  <c r="O6" i="3" a="1"/>
  <c r="O6" i="3" s="1"/>
  <c r="O7" i="3" a="1"/>
  <c r="O7" i="3" s="1"/>
  <c r="O8" i="3" a="1"/>
  <c r="O8" i="3" s="1"/>
  <c r="O9" i="3" a="1"/>
  <c r="O9" i="3" s="1"/>
  <c r="O10" i="3" a="1"/>
  <c r="O10" i="3" s="1"/>
  <c r="O11" i="3" a="1"/>
  <c r="O11" i="3" s="1"/>
  <c r="O12" i="3" a="1"/>
  <c r="O12" i="3" s="1"/>
  <c r="O13" i="3" a="1"/>
  <c r="O13" i="3" s="1"/>
  <c r="O14" i="3" a="1"/>
  <c r="O14" i="3"/>
  <c r="O15" i="3" a="1"/>
  <c r="O15" i="3" s="1"/>
  <c r="O16" i="3" a="1"/>
  <c r="O16" i="3" s="1"/>
  <c r="O17" i="3" a="1"/>
  <c r="O17" i="3" s="1"/>
  <c r="O18" i="3" a="1"/>
  <c r="O18" i="3" s="1"/>
  <c r="O19" i="3" a="1"/>
  <c r="O19" i="3" s="1"/>
  <c r="O20" i="3" a="1"/>
  <c r="O20" i="3"/>
  <c r="O21" i="3" a="1"/>
  <c r="O21" i="3" s="1"/>
  <c r="O22" i="3" a="1"/>
  <c r="O22" i="3" s="1"/>
  <c r="O23" i="3" a="1"/>
  <c r="O23" i="3" s="1"/>
  <c r="O24" i="3" a="1"/>
  <c r="O24" i="3" s="1"/>
  <c r="O25" i="3" a="1"/>
  <c r="O25" i="3" s="1"/>
  <c r="O26" i="3" a="1"/>
  <c r="O26" i="3" s="1"/>
  <c r="O27" i="3" a="1"/>
  <c r="O27" i="3" s="1"/>
  <c r="O28" i="3" a="1"/>
  <c r="O28" i="3" s="1"/>
  <c r="O29" i="3" a="1"/>
  <c r="O29" i="3" s="1"/>
  <c r="O30" i="3" a="1"/>
  <c r="O30" i="3" s="1"/>
  <c r="O31" i="3" a="1"/>
  <c r="O31" i="3" s="1"/>
  <c r="O32" i="3" a="1"/>
  <c r="O32" i="3"/>
  <c r="O33" i="3" a="1"/>
  <c r="O33" i="3" s="1"/>
  <c r="O34" i="3" a="1"/>
  <c r="O34" i="3" s="1"/>
  <c r="O35" i="3" a="1"/>
  <c r="O35" i="3" s="1"/>
  <c r="O36" i="3" a="1"/>
  <c r="O36" i="3" s="1"/>
  <c r="O37" i="3" a="1"/>
  <c r="O37" i="3"/>
  <c r="O38" i="3" a="1"/>
  <c r="O38" i="3" s="1"/>
  <c r="O39" i="3" a="1"/>
  <c r="O39" i="3" s="1"/>
  <c r="O40" i="3" a="1"/>
  <c r="O40" i="3" s="1"/>
  <c r="O41" i="3" a="1"/>
  <c r="O41" i="3" s="1"/>
  <c r="O42" i="3" a="1"/>
  <c r="O42" i="3"/>
  <c r="O43" i="3" a="1"/>
  <c r="O43" i="3" s="1"/>
  <c r="O44" i="3" a="1"/>
  <c r="O44" i="3" s="1"/>
  <c r="O45" i="3" a="1"/>
  <c r="O45" i="3" s="1"/>
  <c r="O46" i="3" a="1"/>
  <c r="O46" i="3" s="1"/>
  <c r="O47" i="3" a="1"/>
  <c r="O47" i="3" s="1"/>
  <c r="O48" i="3" a="1"/>
  <c r="O48" i="3" s="1"/>
  <c r="O49" i="3" a="1"/>
  <c r="O49" i="3" s="1"/>
  <c r="O50" i="3" a="1"/>
  <c r="O50" i="3"/>
  <c r="O51" i="3" a="1"/>
  <c r="O51" i="3" s="1"/>
  <c r="O52" i="3" a="1"/>
  <c r="O52" i="3" s="1"/>
  <c r="O53" i="3" a="1"/>
  <c r="O53" i="3" s="1"/>
  <c r="O54" i="3" a="1"/>
  <c r="O54" i="3" s="1"/>
  <c r="O55" i="3" a="1"/>
  <c r="O55" i="3" s="1"/>
  <c r="O56" i="3" a="1"/>
  <c r="O56" i="3"/>
  <c r="O57" i="3" a="1"/>
  <c r="O57" i="3" s="1"/>
  <c r="O58" i="3" a="1"/>
  <c r="O58" i="3" s="1"/>
  <c r="O59" i="3" a="1"/>
  <c r="O59" i="3" s="1"/>
  <c r="O60" i="3" a="1"/>
  <c r="O60" i="3" s="1"/>
  <c r="O61" i="3" a="1"/>
  <c r="O61" i="3" s="1"/>
  <c r="O62" i="3" a="1"/>
  <c r="O62" i="3" s="1"/>
  <c r="O63" i="3" a="1"/>
  <c r="O63" i="3" s="1"/>
  <c r="O64" i="3" a="1"/>
  <c r="O64" i="3"/>
  <c r="O65" i="3" a="1"/>
  <c r="O65" i="3" s="1"/>
  <c r="O66" i="3" a="1"/>
  <c r="O66" i="3" s="1"/>
  <c r="O67" i="3" a="1"/>
  <c r="O67" i="3" s="1"/>
  <c r="O68" i="3" a="1"/>
  <c r="O68" i="3" s="1"/>
  <c r="O69" i="3" a="1"/>
  <c r="O69" i="3" s="1"/>
  <c r="O70" i="3" a="1"/>
  <c r="O70" i="3" s="1"/>
  <c r="O71" i="3" a="1"/>
  <c r="O71" i="3" s="1"/>
  <c r="O72" i="3" a="1"/>
  <c r="O72" i="3" s="1"/>
  <c r="O73" i="3" a="1"/>
  <c r="O73" i="3" s="1"/>
  <c r="O74" i="3" a="1"/>
  <c r="O74" i="3"/>
  <c r="O75" i="3" a="1"/>
  <c r="O75" i="3" s="1"/>
  <c r="O76" i="3" a="1"/>
  <c r="O76" i="3" s="1"/>
  <c r="O77" i="3" a="1"/>
  <c r="O77" i="3" s="1"/>
  <c r="O78" i="3" a="1"/>
  <c r="O78" i="3"/>
  <c r="O79" i="3" a="1"/>
  <c r="O79" i="3" s="1"/>
  <c r="O80" i="3" a="1"/>
  <c r="O80" i="3"/>
  <c r="O81" i="3" a="1"/>
  <c r="O81" i="3" s="1"/>
  <c r="O82" i="3" a="1"/>
  <c r="O82" i="3"/>
  <c r="O83" i="3" a="1"/>
  <c r="O83" i="3" s="1"/>
  <c r="O84" i="3" a="1"/>
  <c r="O84" i="3" s="1"/>
  <c r="O85" i="3" a="1"/>
  <c r="O85" i="3" s="1"/>
  <c r="O86" i="3" a="1"/>
  <c r="O86" i="3" s="1"/>
  <c r="O87" i="3" a="1"/>
  <c r="O87" i="3" s="1"/>
  <c r="O88" i="3" a="1"/>
  <c r="O88" i="3" s="1"/>
  <c r="O89" i="3" a="1"/>
  <c r="O89" i="3"/>
  <c r="O90" i="3" a="1"/>
  <c r="O90" i="3" s="1"/>
  <c r="O91" i="3" a="1"/>
  <c r="O91" i="3" s="1"/>
  <c r="O92" i="3" a="1"/>
  <c r="O92" i="3"/>
  <c r="O93" i="3" a="1"/>
  <c r="O93" i="3" s="1"/>
  <c r="O94" i="3" a="1"/>
  <c r="O94" i="3" s="1"/>
  <c r="O95" i="3" a="1"/>
  <c r="O95" i="3" s="1"/>
  <c r="O96" i="3" a="1"/>
  <c r="O96" i="3" s="1"/>
  <c r="O97" i="3" a="1"/>
  <c r="O97" i="3"/>
  <c r="O98" i="3" a="1"/>
  <c r="O98" i="3"/>
  <c r="O99" i="3" a="1"/>
  <c r="O99" i="3" s="1"/>
  <c r="O100" i="3" a="1"/>
  <c r="O100" i="3" s="1"/>
  <c r="O101" i="3" a="1"/>
  <c r="O101" i="3" s="1"/>
  <c r="O102" i="3" a="1"/>
  <c r="O102" i="3" s="1"/>
  <c r="O103" i="3" a="1"/>
  <c r="O103" i="3" s="1"/>
  <c r="O104" i="3" a="1"/>
  <c r="O104" i="3" s="1"/>
  <c r="O105" i="3" a="1"/>
  <c r="O105" i="3" s="1"/>
  <c r="O106" i="3" a="1"/>
  <c r="O106" i="3" s="1"/>
  <c r="O107" i="3" a="1"/>
  <c r="O107" i="3" s="1"/>
  <c r="O108" i="3" a="1"/>
  <c r="O108" i="3" s="1"/>
  <c r="O109" i="3" a="1"/>
  <c r="O109" i="3" s="1"/>
  <c r="O110" i="3" a="1"/>
  <c r="O110" i="3" s="1"/>
  <c r="O111" i="3" a="1"/>
  <c r="O111" i="3" s="1"/>
  <c r="O112" i="3" a="1"/>
  <c r="O112" i="3" s="1"/>
  <c r="O113" i="3" a="1"/>
  <c r="O113" i="3" s="1"/>
  <c r="O114" i="3" a="1"/>
  <c r="O114" i="3" s="1"/>
  <c r="O115" i="3" a="1"/>
  <c r="O115" i="3" s="1"/>
  <c r="O116" i="3" a="1"/>
  <c r="O116" i="3"/>
  <c r="O117" i="3" a="1"/>
  <c r="O117" i="3" s="1"/>
  <c r="O118" i="3" a="1"/>
  <c r="O118" i="3" s="1"/>
  <c r="O119" i="3" a="1"/>
  <c r="O119" i="3" s="1"/>
  <c r="O120" i="3" a="1"/>
  <c r="O120" i="3" s="1"/>
  <c r="O121" i="3" a="1"/>
  <c r="O121" i="3"/>
  <c r="O122" i="3" a="1"/>
  <c r="O122" i="3" s="1"/>
  <c r="O123" i="3" a="1"/>
  <c r="O123" i="3" s="1"/>
  <c r="O124" i="3" a="1"/>
  <c r="O124" i="3"/>
  <c r="O125" i="3" a="1"/>
  <c r="O125" i="3" s="1"/>
  <c r="O126" i="3" a="1"/>
  <c r="O126" i="3" s="1"/>
  <c r="O127" i="3" a="1"/>
  <c r="O127" i="3" s="1"/>
  <c r="O128" i="3" a="1"/>
  <c r="O128" i="3" s="1"/>
  <c r="O129" i="3" a="1"/>
  <c r="O129" i="3"/>
  <c r="O130" i="3" a="1"/>
  <c r="O130" i="3" s="1"/>
  <c r="O131" i="3" a="1"/>
  <c r="O131" i="3" s="1"/>
  <c r="O132" i="3" a="1"/>
  <c r="O132" i="3" s="1"/>
  <c r="O133" i="3" a="1"/>
  <c r="O133" i="3" s="1"/>
  <c r="O134" i="3" a="1"/>
  <c r="O134" i="3"/>
  <c r="O135" i="3" a="1"/>
  <c r="O135" i="3" s="1"/>
  <c r="O136" i="3" a="1"/>
  <c r="O136" i="3" s="1"/>
  <c r="O137" i="3" a="1"/>
  <c r="O137" i="3"/>
  <c r="O138" i="3" a="1"/>
  <c r="O138" i="3" s="1"/>
  <c r="O139" i="3" a="1"/>
  <c r="O139" i="3" s="1"/>
  <c r="O140" i="3" a="1"/>
  <c r="O140" i="3" s="1"/>
  <c r="O141" i="3" a="1"/>
  <c r="O141" i="3" s="1"/>
  <c r="O142" i="3" a="1"/>
  <c r="O142" i="3"/>
  <c r="O143" i="3" a="1"/>
  <c r="O143" i="3" s="1"/>
  <c r="O144" i="3" a="1"/>
  <c r="O144" i="3" s="1"/>
  <c r="O145" i="3" a="1"/>
  <c r="O145" i="3" s="1"/>
  <c r="O146" i="3" a="1"/>
  <c r="O146" i="3"/>
  <c r="O147" i="3" a="1"/>
  <c r="O147" i="3" s="1"/>
  <c r="O148" i="3" a="1"/>
  <c r="O148" i="3"/>
  <c r="O149" i="3" a="1"/>
  <c r="O149" i="3" s="1"/>
  <c r="O150" i="3" a="1"/>
  <c r="O150" i="3" s="1"/>
  <c r="O151" i="3" a="1"/>
  <c r="O151" i="3" s="1"/>
  <c r="O152" i="3" a="1"/>
  <c r="O152" i="3"/>
  <c r="O153" i="3" a="1"/>
  <c r="O153" i="3" s="1"/>
  <c r="O154" i="3" a="1"/>
  <c r="O154" i="3" s="1"/>
  <c r="O155" i="3" a="1"/>
  <c r="O155" i="3" s="1"/>
  <c r="O156" i="3" a="1"/>
  <c r="O156" i="3" s="1"/>
  <c r="O157" i="3" a="1"/>
  <c r="O157" i="3"/>
  <c r="O158" i="3" a="1"/>
  <c r="O158" i="3" s="1"/>
  <c r="O159" i="3" a="1"/>
  <c r="O159" i="3" s="1"/>
  <c r="O160" i="3" a="1"/>
  <c r="O160" i="3" s="1"/>
  <c r="O161" i="3" a="1"/>
  <c r="O161" i="3" s="1"/>
  <c r="O162" i="3" a="1"/>
  <c r="O162" i="3"/>
  <c r="O163" i="3" a="1"/>
  <c r="O163" i="3" s="1"/>
  <c r="O164" i="3" a="1"/>
  <c r="O164" i="3" s="1"/>
  <c r="O165" i="3" a="1"/>
  <c r="O165" i="3" s="1"/>
  <c r="O166" i="3" a="1"/>
  <c r="O166" i="3" s="1"/>
  <c r="O167" i="3" a="1"/>
  <c r="O167" i="3" s="1"/>
  <c r="O168" i="3" a="1"/>
  <c r="O168" i="3" s="1"/>
  <c r="O169" i="3" a="1"/>
  <c r="O169" i="3" s="1"/>
  <c r="O170" i="3" a="1"/>
  <c r="O170" i="3" s="1"/>
  <c r="O171" i="3" a="1"/>
  <c r="O171" i="3" s="1"/>
  <c r="O172" i="3" a="1"/>
  <c r="O172" i="3" s="1"/>
  <c r="O173" i="3" a="1"/>
  <c r="O173" i="3"/>
  <c r="O174" i="3" a="1"/>
  <c r="O174" i="3" s="1"/>
  <c r="O175" i="3" a="1"/>
  <c r="O175" i="3" s="1"/>
  <c r="O176" i="3" a="1"/>
  <c r="O176" i="3" s="1"/>
  <c r="O177" i="3" a="1"/>
  <c r="O177" i="3" s="1"/>
  <c r="O178" i="3" a="1"/>
  <c r="O178" i="3"/>
  <c r="O179" i="3" a="1"/>
  <c r="O179" i="3" s="1"/>
  <c r="O180" i="3" a="1"/>
  <c r="O180" i="3" s="1"/>
  <c r="O181" i="3" a="1"/>
  <c r="O181" i="3" s="1"/>
  <c r="O182" i="3" a="1"/>
  <c r="O182" i="3"/>
  <c r="O183" i="3" a="1"/>
  <c r="O183" i="3" s="1"/>
  <c r="O184" i="3" a="1"/>
  <c r="O184" i="3" s="1"/>
  <c r="O185" i="3" a="1"/>
  <c r="O185" i="3"/>
  <c r="O186" i="3" a="1"/>
  <c r="O186" i="3" s="1"/>
  <c r="O187" i="3" a="1"/>
  <c r="O187" i="3" s="1"/>
  <c r="O188" i="3" a="1"/>
  <c r="O188" i="3"/>
  <c r="O189" i="3" a="1"/>
  <c r="O189" i="3" s="1"/>
  <c r="O190" i="3" a="1"/>
  <c r="O190" i="3" s="1"/>
  <c r="O191" i="3" a="1"/>
  <c r="O191" i="3" s="1"/>
  <c r="O192" i="3" a="1"/>
  <c r="O192" i="3" s="1"/>
  <c r="O193" i="3" a="1"/>
  <c r="O193" i="3"/>
  <c r="O194" i="3" a="1"/>
  <c r="O194" i="3" s="1"/>
  <c r="O195" i="3" a="1"/>
  <c r="O195" i="3" s="1"/>
  <c r="O196" i="3" a="1"/>
  <c r="O196" i="3"/>
  <c r="O197" i="3" a="1"/>
  <c r="O197" i="3"/>
  <c r="O198" i="3" a="1"/>
  <c r="O198" i="3"/>
  <c r="O199" i="3" a="1"/>
  <c r="O199" i="3" s="1"/>
  <c r="O200" i="3" a="1"/>
  <c r="O200" i="3" s="1"/>
  <c r="O201" i="3" a="1"/>
  <c r="O201" i="3"/>
  <c r="O202" i="3" a="1"/>
  <c r="O202" i="3"/>
  <c r="O203" i="3" a="1"/>
  <c r="O203" i="3" s="1"/>
  <c r="O204" i="3" a="1"/>
  <c r="O204" i="3" s="1"/>
  <c r="O205" i="3" a="1"/>
  <c r="O205" i="3"/>
  <c r="O206" i="3" a="1"/>
  <c r="O206" i="3"/>
  <c r="O207" i="3" a="1"/>
  <c r="O207" i="3" s="1"/>
  <c r="O208" i="3" a="1"/>
  <c r="O208" i="3" s="1"/>
  <c r="O209" i="3" a="1"/>
  <c r="O209" i="3" s="1"/>
  <c r="O210" i="3" a="1"/>
  <c r="O210" i="3"/>
  <c r="O211" i="3" a="1"/>
  <c r="O211" i="3" s="1"/>
  <c r="O212" i="3" a="1"/>
  <c r="O212" i="3" s="1"/>
  <c r="O213" i="3" a="1"/>
  <c r="O213" i="3" s="1"/>
  <c r="O214" i="3" a="1"/>
  <c r="O214" i="3" s="1"/>
  <c r="O215" i="3" a="1"/>
  <c r="O215" i="3" s="1"/>
  <c r="O216" i="3" a="1"/>
  <c r="O216" i="3"/>
  <c r="O217" i="3" a="1"/>
  <c r="O217" i="3" s="1"/>
  <c r="O218" i="3" a="1"/>
  <c r="O218" i="3" s="1"/>
  <c r="O219" i="3" a="1"/>
  <c r="O219" i="3" s="1"/>
  <c r="O220" i="3" a="1"/>
  <c r="O220" i="3" s="1"/>
  <c r="O221" i="3" a="1"/>
  <c r="O221" i="3"/>
  <c r="O222" i="3" a="1"/>
  <c r="O222" i="3" s="1"/>
  <c r="O223" i="3" a="1"/>
  <c r="O223" i="3" s="1"/>
  <c r="O224" i="3" a="1"/>
  <c r="O224" i="3"/>
  <c r="O225" i="3" a="1"/>
  <c r="O225" i="3" s="1"/>
  <c r="O226" i="3" a="1"/>
  <c r="O226" i="3" s="1"/>
  <c r="O227" i="3" a="1"/>
  <c r="O227" i="3" s="1"/>
  <c r="O228" i="3" a="1"/>
  <c r="O228" i="3" s="1"/>
  <c r="O229" i="3" a="1"/>
  <c r="O229" i="3" s="1"/>
  <c r="O230" i="3" a="1"/>
  <c r="O230" i="3" s="1"/>
  <c r="O231" i="3" a="1"/>
  <c r="O231" i="3" s="1"/>
  <c r="O232" i="3" a="1"/>
  <c r="O232" i="3" s="1"/>
  <c r="O233" i="3" a="1"/>
  <c r="O233" i="3" s="1"/>
  <c r="O234" i="3" a="1"/>
  <c r="O234" i="3" s="1"/>
  <c r="O235" i="3" a="1"/>
  <c r="O235" i="3" s="1"/>
  <c r="O236" i="3" a="1"/>
  <c r="O236" i="3" s="1"/>
  <c r="O237" i="3" a="1"/>
  <c r="O237" i="3" s="1"/>
  <c r="O238" i="3" a="1"/>
  <c r="O238" i="3"/>
  <c r="O239" i="3" a="1"/>
  <c r="O239" i="3" s="1"/>
  <c r="O240" i="3" a="1"/>
  <c r="O240" i="3" s="1"/>
  <c r="O241" i="3" a="1"/>
  <c r="O241" i="3" s="1"/>
  <c r="O242" i="3" a="1"/>
  <c r="O242" i="3"/>
  <c r="O243" i="3" a="1"/>
  <c r="O243" i="3" s="1"/>
  <c r="O244" i="3" a="1"/>
  <c r="O244" i="3" s="1"/>
  <c r="O245" i="3" a="1"/>
  <c r="O245" i="3" s="1"/>
  <c r="O246" i="3" a="1"/>
  <c r="O246" i="3" s="1"/>
  <c r="O247" i="3" a="1"/>
  <c r="O247" i="3" s="1"/>
  <c r="O248" i="3" a="1"/>
  <c r="O248" i="3"/>
  <c r="O249" i="3" a="1"/>
  <c r="O249" i="3" s="1"/>
  <c r="O250" i="3" a="1"/>
  <c r="O250" i="3" s="1"/>
  <c r="O251" i="3" a="1"/>
  <c r="O251" i="3" s="1"/>
  <c r="O252" i="3" a="1"/>
  <c r="O252" i="3" s="1"/>
  <c r="O253" i="3" a="1"/>
  <c r="O253" i="3"/>
  <c r="O254" i="3" a="1"/>
  <c r="O254" i="3" s="1"/>
  <c r="O255" i="3" a="1"/>
  <c r="O255" i="3" s="1"/>
  <c r="O256" i="3" a="1"/>
  <c r="O256" i="3"/>
  <c r="O257" i="3" a="1"/>
  <c r="O257" i="3" s="1"/>
  <c r="O258" i="3" a="1"/>
  <c r="O258" i="3" s="1"/>
  <c r="O259" i="3" a="1"/>
  <c r="O259" i="3" s="1"/>
  <c r="O260" i="3" a="1"/>
  <c r="O260" i="3" s="1"/>
  <c r="O261" i="3" a="1"/>
  <c r="O261" i="3"/>
  <c r="O262" i="3" a="1"/>
  <c r="O262" i="3" s="1"/>
  <c r="O263" i="3" a="1"/>
  <c r="O263" i="3" s="1"/>
  <c r="O264" i="3" a="1"/>
  <c r="O264" i="3" s="1"/>
  <c r="O265" i="3" a="1"/>
  <c r="O265" i="3" s="1"/>
  <c r="O266" i="3" a="1"/>
  <c r="O266" i="3"/>
  <c r="O267" i="3" a="1"/>
  <c r="O267" i="3" s="1"/>
  <c r="O268" i="3" a="1"/>
  <c r="O268" i="3" s="1"/>
  <c r="O269" i="3" a="1"/>
  <c r="O269" i="3" s="1"/>
  <c r="O270" i="3" a="1"/>
  <c r="O270" i="3" s="1"/>
  <c r="O271" i="3" a="1"/>
  <c r="O271" i="3" s="1"/>
  <c r="O272" i="3" a="1"/>
  <c r="O272" i="3"/>
  <c r="O273" i="3" a="1"/>
  <c r="O273" i="3" s="1"/>
  <c r="O274" i="3" a="1"/>
  <c r="O274" i="3"/>
  <c r="O275" i="3" a="1"/>
  <c r="O275" i="3" s="1"/>
  <c r="O276" i="3" a="1"/>
  <c r="O276" i="3" s="1"/>
  <c r="O277" i="3" a="1"/>
  <c r="O277" i="3" s="1"/>
  <c r="O278" i="3" a="1"/>
  <c r="O278" i="3" s="1"/>
  <c r="O279" i="3" a="1"/>
  <c r="O279" i="3" s="1"/>
  <c r="O280" i="3" a="1"/>
  <c r="O280" i="3"/>
  <c r="O281" i="3" a="1"/>
  <c r="O281" i="3"/>
  <c r="O282" i="3" a="1"/>
  <c r="O282" i="3" s="1"/>
  <c r="O283" i="3" a="1"/>
  <c r="O283" i="3" s="1"/>
  <c r="O284" i="3" a="1"/>
  <c r="O284" i="3"/>
  <c r="O285" i="3" a="1"/>
  <c r="O285" i="3"/>
  <c r="O286" i="3" a="1"/>
  <c r="O286" i="3" s="1"/>
  <c r="O287" i="3" a="1"/>
  <c r="O287" i="3" s="1"/>
  <c r="O288" i="3" a="1"/>
  <c r="O288" i="3" s="1"/>
  <c r="O289" i="3" a="1"/>
  <c r="O289" i="3"/>
  <c r="O290" i="3" a="1"/>
  <c r="O290" i="3"/>
  <c r="O291" i="3" a="1"/>
  <c r="O291" i="3" s="1"/>
  <c r="O292" i="3" a="1"/>
  <c r="O292" i="3" s="1"/>
  <c r="O293" i="3" a="1"/>
  <c r="O293" i="3" s="1"/>
  <c r="O294" i="3" a="1"/>
  <c r="O294" i="3"/>
  <c r="O295" i="3" a="1"/>
  <c r="O295" i="3" s="1"/>
  <c r="O296" i="3" a="1"/>
  <c r="O296" i="3" s="1"/>
  <c r="O297" i="3" a="1"/>
  <c r="O297" i="3"/>
  <c r="O298" i="3" a="1"/>
  <c r="O298" i="3" s="1"/>
  <c r="O299" i="3" a="1"/>
  <c r="O299" i="3" s="1"/>
  <c r="O300" i="3" a="1"/>
  <c r="O300" i="3" s="1"/>
  <c r="O301" i="3" a="1"/>
  <c r="O301" i="3"/>
  <c r="O302" i="3" a="1"/>
  <c r="O302" i="3"/>
  <c r="O303" i="3" a="1"/>
  <c r="O303" i="3" s="1"/>
  <c r="O304" i="3" a="1"/>
  <c r="O304" i="3" s="1"/>
  <c r="O305" i="3" a="1"/>
  <c r="O305" i="3" s="1"/>
  <c r="O306" i="3" a="1"/>
  <c r="O306" i="3"/>
  <c r="O307" i="3" a="1"/>
  <c r="O307" i="3" s="1"/>
  <c r="O308" i="3" a="1"/>
  <c r="O308" i="3" s="1"/>
  <c r="O309" i="3" a="1"/>
  <c r="O309" i="3" s="1"/>
  <c r="O310" i="3" a="1"/>
  <c r="O310" i="3" s="1"/>
  <c r="O311" i="3" a="1"/>
  <c r="O311" i="3" s="1"/>
  <c r="O312" i="3" a="1"/>
  <c r="O312" i="3" s="1"/>
  <c r="O313" i="3" a="1"/>
  <c r="O313" i="3"/>
  <c r="O314" i="3" a="1"/>
  <c r="O314" i="3" s="1"/>
  <c r="O315" i="3" a="1"/>
  <c r="O315" i="3" s="1"/>
  <c r="O316" i="3" a="1"/>
  <c r="O316" i="3" s="1"/>
  <c r="O317" i="3" a="1"/>
  <c r="O317" i="3" s="1"/>
  <c r="O318" i="3" a="1"/>
  <c r="O318" i="3" s="1"/>
  <c r="O319" i="3" a="1"/>
  <c r="O319" i="3" s="1"/>
  <c r="O320" i="3" a="1"/>
  <c r="O320" i="3" s="1"/>
  <c r="O321" i="3" a="1"/>
  <c r="O321" i="3" s="1"/>
  <c r="O322" i="3" a="1"/>
  <c r="O322" i="3" s="1"/>
  <c r="O323" i="3" a="1"/>
  <c r="O323" i="3" s="1"/>
  <c r="O324" i="3" a="1"/>
  <c r="O324" i="3" s="1"/>
  <c r="O325" i="3" a="1"/>
  <c r="O325" i="3" s="1"/>
  <c r="O326" i="3" a="1"/>
  <c r="O326" i="3" s="1"/>
  <c r="O327" i="3" a="1"/>
  <c r="O327" i="3" s="1"/>
  <c r="O328" i="3" a="1"/>
  <c r="O328" i="3" s="1"/>
  <c r="O329" i="3" a="1"/>
  <c r="O329" i="3"/>
  <c r="O330" i="3" a="1"/>
  <c r="O330" i="3" s="1"/>
  <c r="O331" i="3" a="1"/>
  <c r="O331" i="3" s="1"/>
  <c r="O332" i="3" a="1"/>
  <c r="O332" i="3" s="1"/>
  <c r="O333" i="3" a="1"/>
  <c r="O333" i="3" s="1"/>
  <c r="O334" i="3" a="1"/>
  <c r="O334" i="3"/>
  <c r="O335" i="3" a="1"/>
  <c r="O335" i="3" s="1"/>
  <c r="O336" i="3" a="1"/>
  <c r="O336" i="3" s="1"/>
  <c r="O337" i="3" a="1"/>
  <c r="O337" i="3" s="1"/>
  <c r="O338" i="3" a="1"/>
  <c r="O338" i="3" s="1"/>
  <c r="O339" i="3" a="1"/>
  <c r="O339" i="3" s="1"/>
  <c r="O340" i="3" a="1"/>
  <c r="O340" i="3"/>
  <c r="O341" i="3" a="1"/>
  <c r="O341" i="3" s="1"/>
  <c r="O342" i="3" a="1"/>
  <c r="O342" i="3" s="1"/>
  <c r="O343" i="3" a="1"/>
  <c r="O343" i="3"/>
  <c r="O344" i="3" a="1"/>
  <c r="O344" i="3"/>
  <c r="O345" i="3" a="1"/>
  <c r="O345" i="3" s="1"/>
  <c r="O346" i="3" a="1"/>
  <c r="O346" i="3" s="1"/>
  <c r="O347" i="3" a="1"/>
  <c r="O347" i="3"/>
  <c r="O348" i="3" a="1"/>
  <c r="O348" i="3" s="1"/>
  <c r="O349" i="3" a="1"/>
  <c r="O349" i="3" s="1"/>
  <c r="O350" i="3" a="1"/>
  <c r="O350" i="3" s="1"/>
  <c r="O351" i="3" a="1"/>
  <c r="O351" i="3"/>
  <c r="O352" i="3" a="1"/>
  <c r="O352" i="3"/>
  <c r="O353" i="3" a="1"/>
  <c r="O353" i="3" s="1"/>
  <c r="O354" i="3" a="1"/>
  <c r="O354" i="3" s="1"/>
  <c r="O355" i="3" a="1"/>
  <c r="O355" i="3"/>
  <c r="O356" i="3" a="1"/>
  <c r="O356" i="3"/>
  <c r="O357" i="3" a="1"/>
  <c r="O357" i="3" s="1"/>
  <c r="O358" i="3" a="1"/>
  <c r="O358" i="3" s="1"/>
  <c r="O359" i="3" a="1"/>
  <c r="O359" i="3" s="1"/>
  <c r="O360" i="3" a="1"/>
  <c r="O360" i="3"/>
  <c r="O361" i="3" a="1"/>
  <c r="O361" i="3" s="1"/>
  <c r="O362" i="3" a="1"/>
  <c r="O362" i="3" s="1"/>
  <c r="O363" i="3" a="1"/>
  <c r="O363" i="3"/>
  <c r="O364" i="3" a="1"/>
  <c r="O364" i="3" s="1"/>
  <c r="O365" i="3" a="1"/>
  <c r="O365" i="3" s="1"/>
  <c r="O366" i="3" a="1"/>
  <c r="O366" i="3" s="1"/>
  <c r="O367" i="3" a="1"/>
  <c r="O367" i="3"/>
  <c r="O368" i="3" a="1"/>
  <c r="O368" i="3"/>
  <c r="O369" i="3" a="1"/>
  <c r="O369" i="3" s="1"/>
  <c r="O370" i="3" a="1"/>
  <c r="O370" i="3" s="1"/>
  <c r="O371" i="3" a="1"/>
  <c r="O371" i="3"/>
  <c r="O372" i="3" a="1"/>
  <c r="O372" i="3"/>
  <c r="O373" i="3" a="1"/>
  <c r="O373" i="3" s="1"/>
  <c r="O374" i="3" a="1"/>
  <c r="O374" i="3" s="1"/>
  <c r="O375" i="3" a="1"/>
  <c r="O375" i="3" s="1"/>
  <c r="O376" i="3" a="1"/>
  <c r="O376" i="3"/>
  <c r="O377" i="3" a="1"/>
  <c r="O377" i="3" s="1"/>
  <c r="O378" i="3" a="1"/>
  <c r="O378" i="3" s="1"/>
  <c r="O379" i="3" a="1"/>
  <c r="O379" i="3"/>
  <c r="O380" i="3" a="1"/>
  <c r="O380" i="3" s="1"/>
  <c r="O381" i="3" a="1"/>
  <c r="O381" i="3" s="1"/>
  <c r="O382" i="3" a="1"/>
  <c r="O382" i="3" s="1"/>
  <c r="O383" i="3" a="1"/>
  <c r="O383" i="3"/>
  <c r="O384" i="3" a="1"/>
  <c r="O384" i="3"/>
  <c r="O385" i="3" a="1"/>
  <c r="O385" i="3" s="1"/>
  <c r="O386" i="3" a="1"/>
  <c r="O386" i="3" s="1"/>
  <c r="O387" i="3" a="1"/>
  <c r="O387" i="3"/>
  <c r="O388" i="3" a="1"/>
  <c r="O388" i="3"/>
  <c r="O389" i="3" a="1"/>
  <c r="O389" i="3" s="1"/>
  <c r="O390" i="3" a="1"/>
  <c r="O390" i="3" s="1"/>
  <c r="O391" i="3" a="1"/>
  <c r="O391" i="3" s="1"/>
  <c r="O392" i="3" a="1"/>
  <c r="O392" i="3"/>
  <c r="O393" i="3" a="1"/>
  <c r="O393" i="3" s="1"/>
  <c r="O394" i="3" a="1"/>
  <c r="O394" i="3" s="1"/>
  <c r="O395" i="3" a="1"/>
  <c r="O395" i="3"/>
  <c r="O396" i="3" a="1"/>
  <c r="O396" i="3" s="1"/>
  <c r="O397" i="3" a="1"/>
  <c r="O397" i="3" s="1"/>
  <c r="O398" i="3" a="1"/>
  <c r="O398" i="3" s="1"/>
  <c r="O399" i="3" a="1"/>
  <c r="O399" i="3"/>
  <c r="O400" i="3" a="1"/>
  <c r="O400" i="3"/>
  <c r="O401" i="3" a="1"/>
  <c r="O401" i="3" s="1"/>
  <c r="O402" i="3" a="1"/>
  <c r="O402" i="3" s="1"/>
  <c r="O403" i="3" a="1"/>
  <c r="O403" i="3"/>
  <c r="O404" i="3" a="1"/>
  <c r="O404" i="3"/>
  <c r="O405" i="3" a="1"/>
  <c r="O405" i="3" s="1"/>
  <c r="O406" i="3" a="1"/>
  <c r="O406" i="3" s="1"/>
  <c r="O407" i="3" a="1"/>
  <c r="O407" i="3" s="1"/>
  <c r="O408" i="3" a="1"/>
  <c r="O408" i="3"/>
  <c r="O409" i="3" a="1"/>
  <c r="O409" i="3" s="1"/>
  <c r="O410" i="3" a="1"/>
  <c r="O410" i="3" s="1"/>
  <c r="O411" i="3" a="1"/>
  <c r="O411" i="3"/>
  <c r="O412" i="3" a="1"/>
  <c r="O412" i="3" s="1"/>
  <c r="O413" i="3" a="1"/>
  <c r="O413" i="3" s="1"/>
  <c r="O414" i="3" a="1"/>
  <c r="O414" i="3" s="1"/>
  <c r="O415" i="3" a="1"/>
  <c r="O415" i="3"/>
  <c r="O416" i="3" a="1"/>
  <c r="O416" i="3"/>
  <c r="O417" i="3" a="1"/>
  <c r="O417" i="3" s="1"/>
  <c r="O418" i="3" a="1"/>
  <c r="O418" i="3" s="1"/>
  <c r="O419" i="3" a="1"/>
  <c r="O419" i="3"/>
  <c r="O420" i="3" a="1"/>
  <c r="O420" i="3"/>
  <c r="O421" i="3" a="1"/>
  <c r="O421" i="3" s="1"/>
  <c r="O422" i="3" a="1"/>
  <c r="O422" i="3" s="1"/>
  <c r="O423" i="3" a="1"/>
  <c r="O423" i="3" s="1"/>
  <c r="O424" i="3" a="1"/>
  <c r="O424" i="3"/>
  <c r="O425" i="3" a="1"/>
  <c r="O425" i="3" s="1"/>
  <c r="O426" i="3" a="1"/>
  <c r="O426" i="3" s="1"/>
  <c r="O427" i="3" a="1"/>
  <c r="O427" i="3"/>
  <c r="O428" i="3" a="1"/>
  <c r="O428" i="3" s="1"/>
  <c r="O429" i="3" a="1"/>
  <c r="O429" i="3" s="1"/>
  <c r="O430" i="3" a="1"/>
  <c r="O430" i="3" s="1"/>
  <c r="O431" i="3" a="1"/>
  <c r="O431" i="3"/>
  <c r="O432" i="3" a="1"/>
  <c r="O432" i="3" s="1"/>
  <c r="O433" i="3" a="1"/>
  <c r="O433" i="3" s="1"/>
  <c r="O434" i="3" a="1"/>
  <c r="O434" i="3" s="1"/>
  <c r="O435" i="3" a="1"/>
  <c r="O435" i="3" s="1"/>
  <c r="O436" i="3" a="1"/>
  <c r="O436" i="3"/>
  <c r="O437" i="3" a="1"/>
  <c r="O437" i="3" s="1"/>
  <c r="O438" i="3" a="1"/>
  <c r="O438" i="3" s="1"/>
  <c r="O439" i="3" a="1"/>
  <c r="O439" i="3" s="1"/>
  <c r="O440" i="3" a="1"/>
  <c r="O440" i="3" s="1"/>
  <c r="O441" i="3" a="1"/>
  <c r="O441" i="3" s="1"/>
  <c r="O442" i="3" a="1"/>
  <c r="O442" i="3" s="1"/>
  <c r="O443" i="3" a="1"/>
  <c r="O443" i="3" s="1"/>
  <c r="O444" i="3" a="1"/>
  <c r="O444" i="3"/>
  <c r="O445" i="3" a="1"/>
  <c r="O445" i="3" s="1"/>
  <c r="O446" i="3" a="1"/>
  <c r="O446" i="3" s="1"/>
  <c r="O447" i="3" a="1"/>
  <c r="O447" i="3"/>
  <c r="O448" i="3" a="1"/>
  <c r="O448" i="3" s="1"/>
  <c r="O449" i="3" a="1"/>
  <c r="O449" i="3" s="1"/>
  <c r="O450" i="3" a="1"/>
  <c r="O450" i="3" s="1"/>
  <c r="O451" i="3" a="1"/>
  <c r="O451" i="3" s="1"/>
  <c r="O452" i="3" a="1"/>
  <c r="O452" i="3" s="1"/>
  <c r="O453" i="3" a="1"/>
  <c r="O453" i="3" s="1"/>
  <c r="O454" i="3" a="1"/>
  <c r="O454" i="3" s="1"/>
  <c r="O455" i="3" a="1"/>
  <c r="O455" i="3"/>
  <c r="O456" i="3" a="1"/>
  <c r="O456" i="3" s="1"/>
  <c r="O457" i="3" a="1"/>
  <c r="O457" i="3" s="1"/>
  <c r="O458" i="3" a="1"/>
  <c r="O458" i="3" s="1"/>
  <c r="O459" i="3" a="1"/>
  <c r="O459" i="3" s="1"/>
  <c r="O460" i="3" a="1"/>
  <c r="O460" i="3"/>
  <c r="O461" i="3" a="1"/>
  <c r="O461" i="3" s="1"/>
  <c r="O462" i="3" a="1"/>
  <c r="O462" i="3" s="1"/>
  <c r="O463" i="3" a="1"/>
  <c r="O463" i="3" s="1"/>
  <c r="O464" i="3" a="1"/>
  <c r="O464" i="3" s="1"/>
  <c r="O465" i="3" a="1"/>
  <c r="O465" i="3" s="1"/>
  <c r="O466" i="3" a="1"/>
  <c r="O466" i="3" s="1"/>
  <c r="O467" i="3" a="1"/>
  <c r="O467" i="3"/>
  <c r="O468" i="3" a="1"/>
  <c r="O468" i="3" s="1"/>
  <c r="O469" i="3" a="1"/>
  <c r="O469" i="3" s="1"/>
  <c r="O470" i="3" a="1"/>
  <c r="O470" i="3" s="1"/>
  <c r="O471" i="3" a="1"/>
  <c r="O471" i="3"/>
  <c r="O472" i="3" a="1"/>
  <c r="O472" i="3"/>
  <c r="O473" i="3" a="1"/>
  <c r="O473" i="3" s="1"/>
  <c r="O474" i="3" a="1"/>
  <c r="O474" i="3" s="1"/>
  <c r="O475" i="3" a="1"/>
  <c r="O475" i="3" s="1"/>
  <c r="O476" i="3" a="1"/>
  <c r="O476" i="3"/>
  <c r="O477" i="3" a="1"/>
  <c r="O477" i="3" s="1"/>
  <c r="O478" i="3" a="1"/>
  <c r="O478" i="3" s="1"/>
  <c r="O479" i="3" a="1"/>
  <c r="O479" i="3"/>
  <c r="O480" i="3" a="1"/>
  <c r="O480" i="3" s="1"/>
  <c r="O481" i="3" a="1"/>
  <c r="O481" i="3" s="1"/>
  <c r="O482" i="3" a="1"/>
  <c r="O482" i="3" s="1"/>
  <c r="O483" i="3" a="1"/>
  <c r="O483" i="3"/>
  <c r="O484" i="3" a="1"/>
  <c r="O484" i="3"/>
  <c r="O485" i="3" a="1"/>
  <c r="O485" i="3" s="1"/>
  <c r="O486" i="3" a="1"/>
  <c r="O486" i="3" s="1"/>
  <c r="O487" i="3" a="1"/>
  <c r="O487" i="3" s="1"/>
  <c r="O488" i="3" a="1"/>
  <c r="O488" i="3" s="1"/>
  <c r="O489" i="3" a="1"/>
  <c r="O489" i="3" s="1"/>
  <c r="O490" i="3" a="1"/>
  <c r="O490" i="3" s="1"/>
  <c r="O491" i="3" a="1"/>
  <c r="O491" i="3" s="1"/>
  <c r="O492" i="3" a="1"/>
  <c r="O492" i="3" s="1"/>
  <c r="O493" i="3" a="1"/>
  <c r="O493" i="3" s="1"/>
  <c r="O494" i="3" a="1"/>
  <c r="O494" i="3" s="1"/>
  <c r="O495" i="3" a="1"/>
  <c r="O495" i="3"/>
  <c r="O496" i="3" a="1"/>
  <c r="O496" i="3" s="1"/>
  <c r="O497" i="3" a="1"/>
  <c r="O497" i="3" s="1"/>
  <c r="O498" i="3" a="1"/>
  <c r="O498" i="3" s="1"/>
  <c r="O499" i="3" a="1"/>
  <c r="O499" i="3" s="1"/>
  <c r="O500" i="3" a="1"/>
  <c r="O500" i="3" s="1"/>
  <c r="O501" i="3" a="1"/>
  <c r="O501" i="3" s="1"/>
  <c r="O2" i="3" a="1"/>
  <c r="O2" i="3" s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2" i="3"/>
  <c r="C19" i="1"/>
  <c r="C18" i="1"/>
  <c r="K501" i="3"/>
  <c r="J501" i="3"/>
  <c r="I501" i="3"/>
  <c r="K500" i="3"/>
  <c r="J500" i="3"/>
  <c r="I500" i="3"/>
  <c r="K499" i="3"/>
  <c r="J499" i="3"/>
  <c r="I499" i="3"/>
  <c r="K498" i="3"/>
  <c r="J498" i="3"/>
  <c r="I498" i="3"/>
  <c r="K497" i="3"/>
  <c r="J497" i="3"/>
  <c r="I497" i="3"/>
  <c r="K496" i="3"/>
  <c r="J496" i="3"/>
  <c r="I496" i="3"/>
  <c r="K495" i="3"/>
  <c r="J495" i="3"/>
  <c r="I495" i="3"/>
  <c r="K494" i="3"/>
  <c r="J494" i="3"/>
  <c r="I494" i="3"/>
  <c r="K493" i="3"/>
  <c r="J493" i="3"/>
  <c r="I493" i="3"/>
  <c r="K492" i="3"/>
  <c r="J492" i="3"/>
  <c r="I492" i="3"/>
  <c r="K491" i="3"/>
  <c r="J491" i="3"/>
  <c r="I491" i="3"/>
  <c r="K490" i="3"/>
  <c r="J490" i="3"/>
  <c r="I490" i="3"/>
  <c r="K489" i="3"/>
  <c r="J489" i="3"/>
  <c r="I489" i="3"/>
  <c r="K488" i="3"/>
  <c r="J488" i="3"/>
  <c r="I488" i="3"/>
  <c r="K487" i="3"/>
  <c r="J487" i="3"/>
  <c r="I487" i="3"/>
  <c r="K486" i="3"/>
  <c r="J486" i="3"/>
  <c r="I486" i="3"/>
  <c r="K485" i="3"/>
  <c r="J485" i="3"/>
  <c r="I485" i="3"/>
  <c r="K484" i="3"/>
  <c r="J484" i="3"/>
  <c r="I484" i="3"/>
  <c r="K483" i="3"/>
  <c r="J483" i="3"/>
  <c r="I483" i="3"/>
  <c r="K482" i="3"/>
  <c r="J482" i="3"/>
  <c r="I482" i="3"/>
  <c r="K481" i="3"/>
  <c r="J481" i="3"/>
  <c r="I481" i="3"/>
  <c r="K480" i="3"/>
  <c r="J480" i="3"/>
  <c r="I480" i="3"/>
  <c r="K479" i="3"/>
  <c r="J479" i="3"/>
  <c r="I479" i="3"/>
  <c r="K478" i="3"/>
  <c r="J478" i="3"/>
  <c r="I478" i="3"/>
  <c r="K477" i="3"/>
  <c r="J477" i="3"/>
  <c r="I477" i="3"/>
  <c r="K476" i="3"/>
  <c r="J476" i="3"/>
  <c r="I476" i="3"/>
  <c r="K475" i="3"/>
  <c r="J475" i="3"/>
  <c r="I475" i="3"/>
  <c r="K474" i="3"/>
  <c r="J474" i="3"/>
  <c r="I474" i="3"/>
  <c r="K473" i="3"/>
  <c r="J473" i="3"/>
  <c r="I473" i="3"/>
  <c r="K472" i="3"/>
  <c r="J472" i="3"/>
  <c r="I472" i="3"/>
  <c r="K471" i="3"/>
  <c r="J471" i="3"/>
  <c r="I471" i="3"/>
  <c r="K470" i="3"/>
  <c r="J470" i="3"/>
  <c r="I470" i="3"/>
  <c r="K469" i="3"/>
  <c r="J469" i="3"/>
  <c r="I469" i="3"/>
  <c r="K468" i="3"/>
  <c r="J468" i="3"/>
  <c r="I468" i="3"/>
  <c r="K467" i="3"/>
  <c r="J467" i="3"/>
  <c r="I467" i="3"/>
  <c r="K466" i="3"/>
  <c r="J466" i="3"/>
  <c r="I466" i="3"/>
  <c r="K465" i="3"/>
  <c r="J465" i="3"/>
  <c r="I465" i="3"/>
  <c r="K464" i="3"/>
  <c r="J464" i="3"/>
  <c r="I464" i="3"/>
  <c r="K463" i="3"/>
  <c r="J463" i="3"/>
  <c r="I463" i="3"/>
  <c r="K462" i="3"/>
  <c r="J462" i="3"/>
  <c r="I462" i="3"/>
  <c r="K461" i="3"/>
  <c r="J461" i="3"/>
  <c r="I461" i="3"/>
  <c r="K460" i="3"/>
  <c r="J460" i="3"/>
  <c r="I460" i="3"/>
  <c r="K459" i="3"/>
  <c r="J459" i="3"/>
  <c r="I459" i="3"/>
  <c r="K458" i="3"/>
  <c r="J458" i="3"/>
  <c r="I458" i="3"/>
  <c r="K457" i="3"/>
  <c r="J457" i="3"/>
  <c r="I457" i="3"/>
  <c r="K456" i="3"/>
  <c r="J456" i="3"/>
  <c r="I456" i="3"/>
  <c r="K455" i="3"/>
  <c r="J455" i="3"/>
  <c r="I455" i="3"/>
  <c r="K454" i="3"/>
  <c r="J454" i="3"/>
  <c r="I454" i="3"/>
  <c r="K453" i="3"/>
  <c r="J453" i="3"/>
  <c r="I453" i="3"/>
  <c r="K452" i="3"/>
  <c r="J452" i="3"/>
  <c r="I452" i="3"/>
  <c r="K451" i="3"/>
  <c r="J451" i="3"/>
  <c r="I451" i="3"/>
  <c r="K450" i="3"/>
  <c r="J450" i="3"/>
  <c r="I450" i="3"/>
  <c r="K449" i="3"/>
  <c r="J449" i="3"/>
  <c r="I449" i="3"/>
  <c r="K448" i="3"/>
  <c r="J448" i="3"/>
  <c r="I448" i="3"/>
  <c r="K447" i="3"/>
  <c r="J447" i="3"/>
  <c r="I447" i="3"/>
  <c r="K446" i="3"/>
  <c r="J446" i="3"/>
  <c r="I446" i="3"/>
  <c r="K445" i="3"/>
  <c r="J445" i="3"/>
  <c r="I445" i="3"/>
  <c r="K444" i="3"/>
  <c r="J444" i="3"/>
  <c r="I444" i="3"/>
  <c r="K443" i="3"/>
  <c r="J443" i="3"/>
  <c r="I443" i="3"/>
  <c r="K442" i="3"/>
  <c r="J442" i="3"/>
  <c r="I442" i="3"/>
  <c r="K441" i="3"/>
  <c r="J441" i="3"/>
  <c r="I441" i="3"/>
  <c r="K440" i="3"/>
  <c r="J440" i="3"/>
  <c r="I440" i="3"/>
  <c r="K439" i="3"/>
  <c r="J439" i="3"/>
  <c r="I439" i="3"/>
  <c r="K438" i="3"/>
  <c r="J438" i="3"/>
  <c r="I438" i="3"/>
  <c r="K437" i="3"/>
  <c r="J437" i="3"/>
  <c r="I437" i="3"/>
  <c r="K436" i="3"/>
  <c r="J436" i="3"/>
  <c r="I436" i="3"/>
  <c r="K435" i="3"/>
  <c r="J435" i="3"/>
  <c r="I435" i="3"/>
  <c r="K434" i="3"/>
  <c r="J434" i="3"/>
  <c r="I434" i="3"/>
  <c r="K433" i="3"/>
  <c r="J433" i="3"/>
  <c r="I433" i="3"/>
  <c r="K432" i="3"/>
  <c r="J432" i="3"/>
  <c r="I432" i="3"/>
  <c r="K431" i="3"/>
  <c r="J431" i="3"/>
  <c r="I431" i="3"/>
  <c r="K430" i="3"/>
  <c r="J430" i="3"/>
  <c r="I430" i="3"/>
  <c r="K429" i="3"/>
  <c r="J429" i="3"/>
  <c r="I429" i="3"/>
  <c r="K428" i="3"/>
  <c r="J428" i="3"/>
  <c r="I428" i="3"/>
  <c r="K427" i="3"/>
  <c r="J427" i="3"/>
  <c r="I427" i="3"/>
  <c r="K426" i="3"/>
  <c r="J426" i="3"/>
  <c r="I426" i="3"/>
  <c r="K425" i="3"/>
  <c r="J425" i="3"/>
  <c r="I425" i="3"/>
  <c r="K424" i="3"/>
  <c r="J424" i="3"/>
  <c r="I424" i="3"/>
  <c r="K423" i="3"/>
  <c r="J423" i="3"/>
  <c r="I423" i="3"/>
  <c r="K422" i="3"/>
  <c r="J422" i="3"/>
  <c r="I422" i="3"/>
  <c r="K421" i="3"/>
  <c r="J421" i="3"/>
  <c r="I421" i="3"/>
  <c r="K420" i="3"/>
  <c r="J420" i="3"/>
  <c r="I420" i="3"/>
  <c r="K419" i="3"/>
  <c r="J419" i="3"/>
  <c r="I419" i="3"/>
  <c r="K418" i="3"/>
  <c r="J418" i="3"/>
  <c r="I418" i="3"/>
  <c r="K417" i="3"/>
  <c r="J417" i="3"/>
  <c r="I417" i="3"/>
  <c r="K416" i="3"/>
  <c r="J416" i="3"/>
  <c r="I416" i="3"/>
  <c r="K415" i="3"/>
  <c r="J415" i="3"/>
  <c r="I415" i="3"/>
  <c r="K414" i="3"/>
  <c r="J414" i="3"/>
  <c r="I414" i="3"/>
  <c r="K413" i="3"/>
  <c r="J413" i="3"/>
  <c r="I413" i="3"/>
  <c r="K412" i="3"/>
  <c r="J412" i="3"/>
  <c r="I412" i="3"/>
  <c r="K411" i="3"/>
  <c r="J411" i="3"/>
  <c r="I411" i="3"/>
  <c r="K410" i="3"/>
  <c r="J410" i="3"/>
  <c r="I410" i="3"/>
  <c r="K409" i="3"/>
  <c r="J409" i="3"/>
  <c r="I409" i="3"/>
  <c r="K408" i="3"/>
  <c r="J408" i="3"/>
  <c r="I408" i="3"/>
  <c r="K407" i="3"/>
  <c r="J407" i="3"/>
  <c r="I407" i="3"/>
  <c r="K406" i="3"/>
  <c r="J406" i="3"/>
  <c r="I406" i="3"/>
  <c r="K405" i="3"/>
  <c r="J405" i="3"/>
  <c r="I405" i="3"/>
  <c r="K404" i="3"/>
  <c r="J404" i="3"/>
  <c r="I404" i="3"/>
  <c r="K403" i="3"/>
  <c r="J403" i="3"/>
  <c r="I403" i="3"/>
  <c r="K402" i="3"/>
  <c r="J402" i="3"/>
  <c r="I402" i="3"/>
  <c r="K401" i="3"/>
  <c r="J401" i="3"/>
  <c r="I401" i="3"/>
  <c r="K400" i="3"/>
  <c r="J400" i="3"/>
  <c r="I400" i="3"/>
  <c r="K399" i="3"/>
  <c r="J399" i="3"/>
  <c r="I399" i="3"/>
  <c r="K398" i="3"/>
  <c r="J398" i="3"/>
  <c r="I398" i="3"/>
  <c r="K397" i="3"/>
  <c r="J397" i="3"/>
  <c r="I397" i="3"/>
  <c r="K396" i="3"/>
  <c r="J396" i="3"/>
  <c r="I396" i="3"/>
  <c r="K395" i="3"/>
  <c r="J395" i="3"/>
  <c r="I395" i="3"/>
  <c r="K394" i="3"/>
  <c r="J394" i="3"/>
  <c r="I394" i="3"/>
  <c r="K393" i="3"/>
  <c r="J393" i="3"/>
  <c r="I393" i="3"/>
  <c r="K392" i="3"/>
  <c r="J392" i="3"/>
  <c r="I392" i="3"/>
  <c r="K391" i="3"/>
  <c r="J391" i="3"/>
  <c r="I391" i="3"/>
  <c r="K390" i="3"/>
  <c r="J390" i="3"/>
  <c r="I390" i="3"/>
  <c r="K389" i="3"/>
  <c r="J389" i="3"/>
  <c r="I389" i="3"/>
  <c r="K388" i="3"/>
  <c r="J388" i="3"/>
  <c r="I388" i="3"/>
  <c r="K387" i="3"/>
  <c r="J387" i="3"/>
  <c r="I387" i="3"/>
  <c r="K386" i="3"/>
  <c r="J386" i="3"/>
  <c r="I386" i="3"/>
  <c r="K385" i="3"/>
  <c r="J385" i="3"/>
  <c r="I385" i="3"/>
  <c r="K384" i="3"/>
  <c r="J384" i="3"/>
  <c r="I384" i="3"/>
  <c r="K383" i="3"/>
  <c r="J383" i="3"/>
  <c r="I383" i="3"/>
  <c r="K382" i="3"/>
  <c r="J382" i="3"/>
  <c r="I382" i="3"/>
  <c r="K381" i="3"/>
  <c r="J381" i="3"/>
  <c r="I381" i="3"/>
  <c r="K380" i="3"/>
  <c r="J380" i="3"/>
  <c r="I380" i="3"/>
  <c r="K379" i="3"/>
  <c r="J379" i="3"/>
  <c r="I379" i="3"/>
  <c r="K378" i="3"/>
  <c r="J378" i="3"/>
  <c r="I378" i="3"/>
  <c r="K377" i="3"/>
  <c r="J377" i="3"/>
  <c r="I377" i="3"/>
  <c r="K376" i="3"/>
  <c r="J376" i="3"/>
  <c r="I376" i="3"/>
  <c r="K375" i="3"/>
  <c r="J375" i="3"/>
  <c r="I375" i="3"/>
  <c r="K374" i="3"/>
  <c r="J374" i="3"/>
  <c r="I374" i="3"/>
  <c r="K373" i="3"/>
  <c r="J373" i="3"/>
  <c r="I373" i="3"/>
  <c r="K372" i="3"/>
  <c r="J372" i="3"/>
  <c r="I372" i="3"/>
  <c r="K371" i="3"/>
  <c r="J371" i="3"/>
  <c r="I371" i="3"/>
  <c r="K370" i="3"/>
  <c r="J370" i="3"/>
  <c r="I370" i="3"/>
  <c r="K369" i="3"/>
  <c r="J369" i="3"/>
  <c r="I369" i="3"/>
  <c r="K368" i="3"/>
  <c r="J368" i="3"/>
  <c r="I368" i="3"/>
  <c r="K367" i="3"/>
  <c r="J367" i="3"/>
  <c r="I367" i="3"/>
  <c r="K366" i="3"/>
  <c r="J366" i="3"/>
  <c r="I366" i="3"/>
  <c r="K365" i="3"/>
  <c r="J365" i="3"/>
  <c r="I365" i="3"/>
  <c r="K364" i="3"/>
  <c r="J364" i="3"/>
  <c r="I364" i="3"/>
  <c r="K363" i="3"/>
  <c r="J363" i="3"/>
  <c r="I363" i="3"/>
  <c r="K362" i="3"/>
  <c r="J362" i="3"/>
  <c r="I362" i="3"/>
  <c r="K361" i="3"/>
  <c r="J361" i="3"/>
  <c r="I361" i="3"/>
  <c r="K360" i="3"/>
  <c r="J360" i="3"/>
  <c r="I360" i="3"/>
  <c r="K359" i="3"/>
  <c r="J359" i="3"/>
  <c r="I359" i="3"/>
  <c r="K358" i="3"/>
  <c r="J358" i="3"/>
  <c r="I358" i="3"/>
  <c r="K357" i="3"/>
  <c r="J357" i="3"/>
  <c r="I357" i="3"/>
  <c r="K356" i="3"/>
  <c r="J356" i="3"/>
  <c r="I356" i="3"/>
  <c r="K355" i="3"/>
  <c r="J355" i="3"/>
  <c r="I355" i="3"/>
  <c r="K354" i="3"/>
  <c r="J354" i="3"/>
  <c r="I354" i="3"/>
  <c r="K353" i="3"/>
  <c r="J353" i="3"/>
  <c r="I353" i="3"/>
  <c r="K352" i="3"/>
  <c r="J352" i="3"/>
  <c r="I352" i="3"/>
  <c r="K351" i="3"/>
  <c r="J351" i="3"/>
  <c r="I351" i="3"/>
  <c r="K350" i="3"/>
  <c r="J350" i="3"/>
  <c r="I350" i="3"/>
  <c r="K349" i="3"/>
  <c r="J349" i="3"/>
  <c r="I349" i="3"/>
  <c r="K348" i="3"/>
  <c r="J348" i="3"/>
  <c r="I348" i="3"/>
  <c r="K347" i="3"/>
  <c r="J347" i="3"/>
  <c r="I347" i="3"/>
  <c r="K346" i="3"/>
  <c r="J346" i="3"/>
  <c r="I346" i="3"/>
  <c r="K345" i="3"/>
  <c r="J345" i="3"/>
  <c r="I345" i="3"/>
  <c r="K344" i="3"/>
  <c r="J344" i="3"/>
  <c r="I344" i="3"/>
  <c r="K343" i="3"/>
  <c r="J343" i="3"/>
  <c r="I343" i="3"/>
  <c r="K342" i="3"/>
  <c r="J342" i="3"/>
  <c r="I342" i="3"/>
  <c r="K341" i="3"/>
  <c r="J341" i="3"/>
  <c r="I341" i="3"/>
  <c r="K340" i="3"/>
  <c r="J340" i="3"/>
  <c r="I340" i="3"/>
  <c r="K339" i="3"/>
  <c r="J339" i="3"/>
  <c r="I339" i="3"/>
  <c r="K338" i="3"/>
  <c r="J338" i="3"/>
  <c r="I338" i="3"/>
  <c r="K337" i="3"/>
  <c r="J337" i="3"/>
  <c r="I337" i="3"/>
  <c r="K336" i="3"/>
  <c r="J336" i="3"/>
  <c r="I336" i="3"/>
  <c r="K335" i="3"/>
  <c r="J335" i="3"/>
  <c r="I335" i="3"/>
  <c r="K334" i="3"/>
  <c r="J334" i="3"/>
  <c r="I334" i="3"/>
  <c r="K333" i="3"/>
  <c r="J333" i="3"/>
  <c r="I333" i="3"/>
  <c r="K332" i="3"/>
  <c r="J332" i="3"/>
  <c r="I332" i="3"/>
  <c r="K331" i="3"/>
  <c r="J331" i="3"/>
  <c r="I331" i="3"/>
  <c r="K330" i="3"/>
  <c r="J330" i="3"/>
  <c r="I330" i="3"/>
  <c r="K329" i="3"/>
  <c r="J329" i="3"/>
  <c r="I329" i="3"/>
  <c r="K328" i="3"/>
  <c r="J328" i="3"/>
  <c r="I328" i="3"/>
  <c r="K327" i="3"/>
  <c r="J327" i="3"/>
  <c r="I327" i="3"/>
  <c r="K326" i="3"/>
  <c r="J326" i="3"/>
  <c r="I326" i="3"/>
  <c r="K325" i="3"/>
  <c r="J325" i="3"/>
  <c r="I325" i="3"/>
  <c r="K324" i="3"/>
  <c r="J324" i="3"/>
  <c r="I324" i="3"/>
  <c r="K323" i="3"/>
  <c r="J323" i="3"/>
  <c r="I323" i="3"/>
  <c r="K322" i="3"/>
  <c r="J322" i="3"/>
  <c r="I322" i="3"/>
  <c r="K321" i="3"/>
  <c r="J321" i="3"/>
  <c r="I321" i="3"/>
  <c r="K320" i="3"/>
  <c r="J320" i="3"/>
  <c r="I320" i="3"/>
  <c r="K319" i="3"/>
  <c r="J319" i="3"/>
  <c r="I319" i="3"/>
  <c r="K318" i="3"/>
  <c r="J318" i="3"/>
  <c r="I318" i="3"/>
  <c r="K317" i="3"/>
  <c r="J317" i="3"/>
  <c r="I317" i="3"/>
  <c r="K316" i="3"/>
  <c r="J316" i="3"/>
  <c r="I316" i="3"/>
  <c r="K315" i="3"/>
  <c r="J315" i="3"/>
  <c r="I315" i="3"/>
  <c r="K314" i="3"/>
  <c r="J314" i="3"/>
  <c r="I314" i="3"/>
  <c r="K313" i="3"/>
  <c r="J313" i="3"/>
  <c r="I313" i="3"/>
  <c r="K312" i="3"/>
  <c r="J312" i="3"/>
  <c r="I312" i="3"/>
  <c r="K311" i="3"/>
  <c r="J311" i="3"/>
  <c r="I311" i="3"/>
  <c r="K310" i="3"/>
  <c r="J310" i="3"/>
  <c r="I310" i="3"/>
  <c r="K309" i="3"/>
  <c r="J309" i="3"/>
  <c r="I309" i="3"/>
  <c r="K308" i="3"/>
  <c r="J308" i="3"/>
  <c r="I308" i="3"/>
  <c r="K307" i="3"/>
  <c r="J307" i="3"/>
  <c r="I307" i="3"/>
  <c r="K306" i="3"/>
  <c r="J306" i="3"/>
  <c r="I306" i="3"/>
  <c r="K305" i="3"/>
  <c r="J305" i="3"/>
  <c r="I305" i="3"/>
  <c r="K304" i="3"/>
  <c r="J304" i="3"/>
  <c r="I304" i="3"/>
  <c r="K303" i="3"/>
  <c r="J303" i="3"/>
  <c r="I303" i="3"/>
  <c r="K302" i="3"/>
  <c r="J302" i="3"/>
  <c r="I302" i="3"/>
  <c r="K301" i="3"/>
  <c r="J301" i="3"/>
  <c r="I301" i="3"/>
  <c r="K300" i="3"/>
  <c r="J300" i="3"/>
  <c r="I300" i="3"/>
  <c r="K299" i="3"/>
  <c r="J299" i="3"/>
  <c r="I299" i="3"/>
  <c r="K298" i="3"/>
  <c r="J298" i="3"/>
  <c r="I298" i="3"/>
  <c r="K297" i="3"/>
  <c r="J297" i="3"/>
  <c r="I297" i="3"/>
  <c r="K296" i="3"/>
  <c r="J296" i="3"/>
  <c r="I296" i="3"/>
  <c r="K295" i="3"/>
  <c r="J295" i="3"/>
  <c r="I295" i="3"/>
  <c r="K294" i="3"/>
  <c r="J294" i="3"/>
  <c r="I294" i="3"/>
  <c r="K293" i="3"/>
  <c r="J293" i="3"/>
  <c r="I293" i="3"/>
  <c r="K292" i="3"/>
  <c r="J292" i="3"/>
  <c r="I292" i="3"/>
  <c r="K291" i="3"/>
  <c r="J291" i="3"/>
  <c r="I291" i="3"/>
  <c r="K290" i="3"/>
  <c r="J290" i="3"/>
  <c r="I290" i="3"/>
  <c r="K289" i="3"/>
  <c r="J289" i="3"/>
  <c r="I289" i="3"/>
  <c r="K288" i="3"/>
  <c r="J288" i="3"/>
  <c r="I288" i="3"/>
  <c r="K287" i="3"/>
  <c r="J287" i="3"/>
  <c r="I287" i="3"/>
  <c r="K286" i="3"/>
  <c r="J286" i="3"/>
  <c r="I286" i="3"/>
  <c r="K285" i="3"/>
  <c r="J285" i="3"/>
  <c r="I285" i="3"/>
  <c r="K284" i="3"/>
  <c r="J284" i="3"/>
  <c r="I284" i="3"/>
  <c r="K283" i="3"/>
  <c r="J283" i="3"/>
  <c r="I283" i="3"/>
  <c r="K282" i="3"/>
  <c r="J282" i="3"/>
  <c r="I282" i="3"/>
  <c r="K281" i="3"/>
  <c r="J281" i="3"/>
  <c r="I281" i="3"/>
  <c r="K280" i="3"/>
  <c r="J280" i="3"/>
  <c r="I280" i="3"/>
  <c r="K279" i="3"/>
  <c r="J279" i="3"/>
  <c r="I279" i="3"/>
  <c r="K278" i="3"/>
  <c r="J278" i="3"/>
  <c r="I278" i="3"/>
  <c r="K277" i="3"/>
  <c r="J277" i="3"/>
  <c r="I277" i="3"/>
  <c r="K276" i="3"/>
  <c r="J276" i="3"/>
  <c r="I276" i="3"/>
  <c r="K275" i="3"/>
  <c r="J275" i="3"/>
  <c r="I275" i="3"/>
  <c r="K274" i="3"/>
  <c r="J274" i="3"/>
  <c r="I274" i="3"/>
  <c r="K273" i="3"/>
  <c r="J273" i="3"/>
  <c r="I273" i="3"/>
  <c r="K272" i="3"/>
  <c r="J272" i="3"/>
  <c r="I272" i="3"/>
  <c r="K271" i="3"/>
  <c r="J271" i="3"/>
  <c r="I271" i="3"/>
  <c r="K270" i="3"/>
  <c r="J270" i="3"/>
  <c r="I270" i="3"/>
  <c r="K269" i="3"/>
  <c r="J269" i="3"/>
  <c r="I269" i="3"/>
  <c r="K268" i="3"/>
  <c r="J268" i="3"/>
  <c r="I268" i="3"/>
  <c r="K267" i="3"/>
  <c r="J267" i="3"/>
  <c r="I267" i="3"/>
  <c r="K266" i="3"/>
  <c r="J266" i="3"/>
  <c r="I266" i="3"/>
  <c r="K265" i="3"/>
  <c r="J265" i="3"/>
  <c r="I265" i="3"/>
  <c r="K264" i="3"/>
  <c r="J264" i="3"/>
  <c r="I264" i="3"/>
  <c r="K263" i="3"/>
  <c r="J263" i="3"/>
  <c r="I263" i="3"/>
  <c r="K262" i="3"/>
  <c r="J262" i="3"/>
  <c r="I262" i="3"/>
  <c r="K261" i="3"/>
  <c r="J261" i="3"/>
  <c r="I261" i="3"/>
  <c r="K260" i="3"/>
  <c r="J260" i="3"/>
  <c r="I260" i="3"/>
  <c r="K259" i="3"/>
  <c r="J259" i="3"/>
  <c r="I259" i="3"/>
  <c r="K258" i="3"/>
  <c r="J258" i="3"/>
  <c r="I258" i="3"/>
  <c r="K257" i="3"/>
  <c r="J257" i="3"/>
  <c r="I257" i="3"/>
  <c r="K256" i="3"/>
  <c r="J256" i="3"/>
  <c r="I256" i="3"/>
  <c r="K255" i="3"/>
  <c r="J255" i="3"/>
  <c r="I255" i="3"/>
  <c r="K254" i="3"/>
  <c r="J254" i="3"/>
  <c r="I254" i="3"/>
  <c r="K253" i="3"/>
  <c r="J253" i="3"/>
  <c r="I253" i="3"/>
  <c r="K252" i="3"/>
  <c r="J252" i="3"/>
  <c r="I252" i="3"/>
  <c r="K251" i="3"/>
  <c r="J251" i="3"/>
  <c r="I251" i="3"/>
  <c r="K250" i="3"/>
  <c r="J250" i="3"/>
  <c r="I250" i="3"/>
  <c r="K249" i="3"/>
  <c r="J249" i="3"/>
  <c r="I249" i="3"/>
  <c r="K248" i="3"/>
  <c r="J248" i="3"/>
  <c r="I248" i="3"/>
  <c r="K247" i="3"/>
  <c r="J247" i="3"/>
  <c r="I247" i="3"/>
  <c r="K246" i="3"/>
  <c r="J246" i="3"/>
  <c r="I246" i="3"/>
  <c r="K245" i="3"/>
  <c r="J245" i="3"/>
  <c r="I245" i="3"/>
  <c r="K244" i="3"/>
  <c r="J244" i="3"/>
  <c r="I244" i="3"/>
  <c r="K243" i="3"/>
  <c r="J243" i="3"/>
  <c r="I243" i="3"/>
  <c r="K242" i="3"/>
  <c r="J242" i="3"/>
  <c r="I242" i="3"/>
  <c r="K241" i="3"/>
  <c r="J241" i="3"/>
  <c r="I241" i="3"/>
  <c r="K240" i="3"/>
  <c r="J240" i="3"/>
  <c r="I240" i="3"/>
  <c r="K239" i="3"/>
  <c r="J239" i="3"/>
  <c r="I239" i="3"/>
  <c r="K238" i="3"/>
  <c r="J238" i="3"/>
  <c r="I238" i="3"/>
  <c r="K237" i="3"/>
  <c r="J237" i="3"/>
  <c r="I237" i="3"/>
  <c r="K236" i="3"/>
  <c r="J236" i="3"/>
  <c r="I236" i="3"/>
  <c r="K235" i="3"/>
  <c r="J235" i="3"/>
  <c r="I235" i="3"/>
  <c r="K234" i="3"/>
  <c r="J234" i="3"/>
  <c r="I234" i="3"/>
  <c r="K233" i="3"/>
  <c r="J233" i="3"/>
  <c r="I233" i="3"/>
  <c r="K232" i="3"/>
  <c r="J232" i="3"/>
  <c r="I232" i="3"/>
  <c r="K231" i="3"/>
  <c r="J231" i="3"/>
  <c r="I231" i="3"/>
  <c r="K230" i="3"/>
  <c r="J230" i="3"/>
  <c r="I230" i="3"/>
  <c r="K229" i="3"/>
  <c r="J229" i="3"/>
  <c r="I229" i="3"/>
  <c r="K228" i="3"/>
  <c r="J228" i="3"/>
  <c r="I228" i="3"/>
  <c r="K227" i="3"/>
  <c r="J227" i="3"/>
  <c r="I227" i="3"/>
  <c r="K226" i="3"/>
  <c r="J226" i="3"/>
  <c r="I226" i="3"/>
  <c r="K225" i="3"/>
  <c r="J225" i="3"/>
  <c r="I225" i="3"/>
  <c r="K224" i="3"/>
  <c r="J224" i="3"/>
  <c r="I224" i="3"/>
  <c r="K223" i="3"/>
  <c r="J223" i="3"/>
  <c r="I223" i="3"/>
  <c r="K222" i="3"/>
  <c r="J222" i="3"/>
  <c r="I222" i="3"/>
  <c r="K221" i="3"/>
  <c r="J221" i="3"/>
  <c r="I221" i="3"/>
  <c r="K220" i="3"/>
  <c r="J220" i="3"/>
  <c r="I220" i="3"/>
  <c r="K219" i="3"/>
  <c r="J219" i="3"/>
  <c r="I219" i="3"/>
  <c r="K218" i="3"/>
  <c r="J218" i="3"/>
  <c r="I218" i="3"/>
  <c r="K217" i="3"/>
  <c r="J217" i="3"/>
  <c r="I217" i="3"/>
  <c r="K216" i="3"/>
  <c r="J216" i="3"/>
  <c r="I216" i="3"/>
  <c r="K215" i="3"/>
  <c r="J215" i="3"/>
  <c r="I215" i="3"/>
  <c r="K214" i="3"/>
  <c r="J214" i="3"/>
  <c r="I214" i="3"/>
  <c r="K213" i="3"/>
  <c r="J213" i="3"/>
  <c r="I213" i="3"/>
  <c r="K212" i="3"/>
  <c r="J212" i="3"/>
  <c r="I212" i="3"/>
  <c r="K211" i="3"/>
  <c r="J211" i="3"/>
  <c r="I211" i="3"/>
  <c r="K210" i="3"/>
  <c r="J210" i="3"/>
  <c r="I210" i="3"/>
  <c r="K209" i="3"/>
  <c r="J209" i="3"/>
  <c r="I209" i="3"/>
  <c r="K208" i="3"/>
  <c r="J208" i="3"/>
  <c r="I208" i="3"/>
  <c r="K207" i="3"/>
  <c r="J207" i="3"/>
  <c r="I207" i="3"/>
  <c r="K206" i="3"/>
  <c r="J206" i="3"/>
  <c r="I206" i="3"/>
  <c r="K205" i="3"/>
  <c r="J205" i="3"/>
  <c r="I205" i="3"/>
  <c r="K204" i="3"/>
  <c r="J204" i="3"/>
  <c r="I204" i="3"/>
  <c r="K203" i="3"/>
  <c r="J203" i="3"/>
  <c r="I203" i="3"/>
  <c r="K202" i="3"/>
  <c r="J202" i="3"/>
  <c r="I202" i="3"/>
  <c r="K201" i="3"/>
  <c r="J201" i="3"/>
  <c r="I201" i="3"/>
  <c r="K200" i="3"/>
  <c r="J200" i="3"/>
  <c r="I200" i="3"/>
  <c r="K199" i="3"/>
  <c r="J199" i="3"/>
  <c r="I199" i="3"/>
  <c r="K198" i="3"/>
  <c r="J198" i="3"/>
  <c r="I198" i="3"/>
  <c r="K197" i="3"/>
  <c r="J197" i="3"/>
  <c r="I197" i="3"/>
  <c r="K196" i="3"/>
  <c r="J196" i="3"/>
  <c r="I196" i="3"/>
  <c r="K195" i="3"/>
  <c r="J195" i="3"/>
  <c r="I195" i="3"/>
  <c r="K194" i="3"/>
  <c r="J194" i="3"/>
  <c r="I194" i="3"/>
  <c r="K193" i="3"/>
  <c r="J193" i="3"/>
  <c r="I193" i="3"/>
  <c r="K192" i="3"/>
  <c r="J192" i="3"/>
  <c r="I192" i="3"/>
  <c r="K191" i="3"/>
  <c r="J191" i="3"/>
  <c r="I191" i="3"/>
  <c r="K190" i="3"/>
  <c r="J190" i="3"/>
  <c r="I190" i="3"/>
  <c r="K189" i="3"/>
  <c r="J189" i="3"/>
  <c r="I189" i="3"/>
  <c r="K188" i="3"/>
  <c r="J188" i="3"/>
  <c r="I188" i="3"/>
  <c r="K187" i="3"/>
  <c r="J187" i="3"/>
  <c r="I187" i="3"/>
  <c r="K186" i="3"/>
  <c r="J186" i="3"/>
  <c r="I186" i="3"/>
  <c r="K185" i="3"/>
  <c r="J185" i="3"/>
  <c r="I185" i="3"/>
  <c r="K184" i="3"/>
  <c r="J184" i="3"/>
  <c r="I184" i="3"/>
  <c r="K183" i="3"/>
  <c r="J183" i="3"/>
  <c r="I183" i="3"/>
  <c r="K182" i="3"/>
  <c r="J182" i="3"/>
  <c r="I182" i="3"/>
  <c r="K181" i="3"/>
  <c r="J181" i="3"/>
  <c r="I181" i="3"/>
  <c r="K180" i="3"/>
  <c r="J180" i="3"/>
  <c r="I180" i="3"/>
  <c r="K179" i="3"/>
  <c r="J179" i="3"/>
  <c r="I179" i="3"/>
  <c r="K178" i="3"/>
  <c r="J178" i="3"/>
  <c r="I178" i="3"/>
  <c r="K177" i="3"/>
  <c r="J177" i="3"/>
  <c r="I177" i="3"/>
  <c r="K176" i="3"/>
  <c r="J176" i="3"/>
  <c r="I176" i="3"/>
  <c r="K175" i="3"/>
  <c r="J175" i="3"/>
  <c r="I175" i="3"/>
  <c r="K174" i="3"/>
  <c r="J174" i="3"/>
  <c r="I174" i="3"/>
  <c r="K173" i="3"/>
  <c r="J173" i="3"/>
  <c r="I173" i="3"/>
  <c r="K172" i="3"/>
  <c r="J172" i="3"/>
  <c r="I172" i="3"/>
  <c r="K171" i="3"/>
  <c r="J171" i="3"/>
  <c r="I171" i="3"/>
  <c r="K170" i="3"/>
  <c r="J170" i="3"/>
  <c r="I170" i="3"/>
  <c r="K169" i="3"/>
  <c r="J169" i="3"/>
  <c r="I169" i="3"/>
  <c r="K168" i="3"/>
  <c r="J168" i="3"/>
  <c r="I168" i="3"/>
  <c r="K167" i="3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J157" i="3"/>
  <c r="I157" i="3"/>
  <c r="K156" i="3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J138" i="3"/>
  <c r="I138" i="3"/>
  <c r="K137" i="3"/>
  <c r="J137" i="3"/>
  <c r="I137" i="3"/>
  <c r="K136" i="3"/>
  <c r="J136" i="3"/>
  <c r="I136" i="3"/>
  <c r="K135" i="3"/>
  <c r="J135" i="3"/>
  <c r="I135" i="3"/>
  <c r="K134" i="3"/>
  <c r="J134" i="3"/>
  <c r="I134" i="3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I125" i="3"/>
  <c r="K124" i="3"/>
  <c r="J124" i="3"/>
  <c r="I124" i="3"/>
  <c r="K123" i="3"/>
  <c r="J123" i="3"/>
  <c r="I123" i="3"/>
  <c r="K122" i="3"/>
  <c r="J122" i="3"/>
  <c r="I122" i="3"/>
  <c r="K121" i="3"/>
  <c r="J121" i="3"/>
  <c r="I121" i="3"/>
  <c r="K120" i="3"/>
  <c r="J120" i="3"/>
  <c r="I120" i="3"/>
  <c r="K119" i="3"/>
  <c r="J119" i="3"/>
  <c r="I119" i="3"/>
  <c r="K118" i="3"/>
  <c r="J118" i="3"/>
  <c r="I118" i="3"/>
  <c r="K117" i="3"/>
  <c r="J117" i="3"/>
  <c r="I117" i="3"/>
  <c r="K116" i="3"/>
  <c r="J116" i="3"/>
  <c r="I116" i="3"/>
  <c r="K115" i="3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J108" i="3"/>
  <c r="I108" i="3"/>
  <c r="K107" i="3"/>
  <c r="J107" i="3"/>
  <c r="I107" i="3"/>
  <c r="K106" i="3"/>
  <c r="J106" i="3"/>
  <c r="I106" i="3"/>
  <c r="K105" i="3"/>
  <c r="J105" i="3"/>
  <c r="I105" i="3"/>
  <c r="K104" i="3"/>
  <c r="J104" i="3"/>
  <c r="I104" i="3"/>
  <c r="K103" i="3"/>
  <c r="J103" i="3"/>
  <c r="I103" i="3"/>
  <c r="K102" i="3"/>
  <c r="J102" i="3"/>
  <c r="I102" i="3"/>
  <c r="K101" i="3"/>
  <c r="J101" i="3"/>
  <c r="I101" i="3"/>
  <c r="K100" i="3"/>
  <c r="J100" i="3"/>
  <c r="I100" i="3"/>
  <c r="K99" i="3"/>
  <c r="J99" i="3"/>
  <c r="I99" i="3"/>
  <c r="K98" i="3"/>
  <c r="J98" i="3"/>
  <c r="I98" i="3"/>
  <c r="K97" i="3"/>
  <c r="J97" i="3"/>
  <c r="I97" i="3"/>
  <c r="K96" i="3"/>
  <c r="J96" i="3"/>
  <c r="I96" i="3"/>
  <c r="K95" i="3"/>
  <c r="J95" i="3"/>
  <c r="I95" i="3"/>
  <c r="K94" i="3"/>
  <c r="J94" i="3"/>
  <c r="I94" i="3"/>
  <c r="K93" i="3"/>
  <c r="J93" i="3"/>
  <c r="I93" i="3"/>
  <c r="K92" i="3"/>
  <c r="J92" i="3"/>
  <c r="I92" i="3"/>
  <c r="K91" i="3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J84" i="3"/>
  <c r="I84" i="3"/>
  <c r="K83" i="3"/>
  <c r="J83" i="3"/>
  <c r="I83" i="3"/>
  <c r="K82" i="3"/>
  <c r="J82" i="3"/>
  <c r="I82" i="3"/>
  <c r="K81" i="3"/>
  <c r="J81" i="3"/>
  <c r="I81" i="3"/>
  <c r="K80" i="3"/>
  <c r="J80" i="3"/>
  <c r="I80" i="3"/>
  <c r="K79" i="3"/>
  <c r="J79" i="3"/>
  <c r="I79" i="3"/>
  <c r="K78" i="3"/>
  <c r="J78" i="3"/>
  <c r="I78" i="3"/>
  <c r="K77" i="3"/>
  <c r="J77" i="3"/>
  <c r="I77" i="3"/>
  <c r="K76" i="3"/>
  <c r="J76" i="3"/>
  <c r="I76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I2" i="3"/>
  <c r="P105" i="3" l="1"/>
  <c r="P321" i="3"/>
  <c r="P491" i="3"/>
  <c r="P422" i="3"/>
  <c r="P297" i="3"/>
  <c r="P329" i="3"/>
  <c r="P313" i="3"/>
  <c r="P249" i="3"/>
  <c r="P225" i="3"/>
  <c r="P89" i="3"/>
  <c r="P57" i="3"/>
  <c r="P479" i="3"/>
  <c r="P462" i="3"/>
  <c r="P444" i="3"/>
  <c r="P427" i="3"/>
  <c r="P281" i="3"/>
  <c r="P65" i="3"/>
  <c r="P201" i="3"/>
  <c r="P273" i="3"/>
  <c r="P217" i="3"/>
  <c r="P25" i="3"/>
  <c r="P305" i="3"/>
  <c r="P289" i="3"/>
  <c r="P241" i="3"/>
  <c r="P81" i="3"/>
  <c r="P41" i="3"/>
  <c r="P209" i="3"/>
  <c r="P97" i="3"/>
  <c r="P257" i="3"/>
  <c r="P233" i="3"/>
  <c r="P2" i="3"/>
  <c r="P478" i="3"/>
  <c r="P410" i="3"/>
  <c r="P388" i="3"/>
  <c r="P476" i="3"/>
  <c r="P419" i="3"/>
  <c r="P398" i="3"/>
  <c r="P371" i="3"/>
  <c r="P339" i="3"/>
  <c r="P284" i="3"/>
  <c r="P266" i="3"/>
  <c r="P223" i="3"/>
  <c r="P188" i="3"/>
  <c r="P171" i="3"/>
  <c r="P144" i="3"/>
  <c r="P131" i="3"/>
  <c r="P118" i="3"/>
  <c r="P111" i="3"/>
  <c r="P98" i="3"/>
  <c r="P75" i="3"/>
  <c r="P62" i="3"/>
  <c r="P55" i="3"/>
  <c r="P48" i="3"/>
  <c r="P35" i="3"/>
  <c r="P30" i="3"/>
  <c r="P24" i="3"/>
  <c r="P18" i="3"/>
  <c r="P12" i="3"/>
  <c r="P301" i="3"/>
  <c r="P397" i="3"/>
  <c r="P421" i="3"/>
  <c r="P277" i="3"/>
  <c r="P405" i="3"/>
  <c r="P429" i="3"/>
  <c r="P445" i="3"/>
  <c r="P293" i="3"/>
  <c r="P5" i="3"/>
  <c r="P45" i="3"/>
  <c r="P53" i="3"/>
  <c r="P69" i="3"/>
  <c r="P77" i="3"/>
  <c r="P85" i="3"/>
  <c r="P93" i="3"/>
  <c r="P109" i="3"/>
  <c r="P117" i="3"/>
  <c r="P197" i="3"/>
  <c r="P205" i="3"/>
  <c r="P213" i="3"/>
  <c r="P221" i="3"/>
  <c r="P229" i="3"/>
  <c r="P237" i="3"/>
  <c r="P245" i="3"/>
  <c r="P253" i="3"/>
  <c r="P261" i="3"/>
  <c r="P269" i="3"/>
  <c r="P285" i="3"/>
  <c r="P309" i="3"/>
  <c r="P317" i="3"/>
  <c r="P325" i="3"/>
  <c r="P333" i="3"/>
  <c r="P341" i="3"/>
  <c r="P349" i="3"/>
  <c r="P357" i="3"/>
  <c r="P365" i="3"/>
  <c r="P373" i="3"/>
  <c r="P381" i="3"/>
  <c r="P389" i="3"/>
  <c r="P413" i="3"/>
  <c r="P437" i="3"/>
  <c r="P56" i="3"/>
  <c r="P72" i="3"/>
  <c r="P88" i="3"/>
  <c r="P104" i="3"/>
  <c r="P136" i="3"/>
  <c r="P200" i="3"/>
  <c r="P216" i="3"/>
  <c r="P232" i="3"/>
  <c r="P248" i="3"/>
  <c r="P264" i="3"/>
  <c r="P280" i="3"/>
  <c r="P288" i="3"/>
  <c r="P296" i="3"/>
  <c r="P312" i="3"/>
  <c r="P320" i="3"/>
  <c r="P328" i="3"/>
  <c r="P336" i="3"/>
  <c r="P344" i="3"/>
  <c r="P352" i="3"/>
  <c r="P360" i="3"/>
  <c r="P368" i="3"/>
  <c r="P376" i="3"/>
  <c r="P384" i="3"/>
  <c r="P392" i="3"/>
  <c r="P400" i="3"/>
  <c r="P408" i="3"/>
  <c r="P416" i="3"/>
  <c r="P424" i="3"/>
  <c r="P440" i="3"/>
  <c r="P456" i="3"/>
  <c r="P472" i="3"/>
  <c r="P488" i="3"/>
  <c r="P9" i="3"/>
  <c r="P485" i="3"/>
  <c r="P453" i="3"/>
  <c r="P393" i="3"/>
  <c r="P265" i="3"/>
  <c r="P137" i="3"/>
  <c r="P73" i="3"/>
  <c r="P496" i="3"/>
  <c r="P443" i="3"/>
  <c r="P404" i="3"/>
  <c r="P399" i="3"/>
  <c r="P494" i="3"/>
  <c r="P447" i="3"/>
  <c r="P414" i="3"/>
  <c r="P387" i="3"/>
  <c r="P366" i="3"/>
  <c r="P350" i="3"/>
  <c r="P300" i="3"/>
  <c r="P279" i="3"/>
  <c r="P260" i="3"/>
  <c r="P235" i="3"/>
  <c r="P195" i="3"/>
  <c r="P182" i="3"/>
  <c r="P150" i="3"/>
  <c r="P124" i="3"/>
  <c r="P499" i="3"/>
  <c r="P487" i="3"/>
  <c r="P482" i="3"/>
  <c r="P470" i="3"/>
  <c r="P464" i="3"/>
  <c r="P458" i="3"/>
  <c r="P452" i="3"/>
  <c r="P435" i="3"/>
  <c r="P338" i="3"/>
  <c r="P332" i="3"/>
  <c r="P326" i="3"/>
  <c r="P316" i="3"/>
  <c r="P311" i="3"/>
  <c r="P304" i="3"/>
  <c r="P299" i="3"/>
  <c r="P278" i="3"/>
  <c r="P259" i="3"/>
  <c r="P246" i="3"/>
  <c r="P240" i="3"/>
  <c r="P234" i="3"/>
  <c r="P228" i="3"/>
  <c r="P222" i="3"/>
  <c r="P199" i="3"/>
  <c r="P194" i="3"/>
  <c r="P176" i="3"/>
  <c r="P170" i="3"/>
  <c r="P165" i="3"/>
  <c r="P160" i="3"/>
  <c r="P155" i="3"/>
  <c r="P149" i="3"/>
  <c r="P143" i="3"/>
  <c r="P130" i="3"/>
  <c r="P110" i="3"/>
  <c r="P92" i="3"/>
  <c r="P87" i="3"/>
  <c r="P80" i="3"/>
  <c r="P74" i="3"/>
  <c r="P68" i="3"/>
  <c r="P61" i="3"/>
  <c r="P54" i="3"/>
  <c r="P34" i="3"/>
  <c r="P29" i="3"/>
  <c r="P11" i="3"/>
  <c r="P481" i="3"/>
  <c r="P449" i="3"/>
  <c r="P385" i="3"/>
  <c r="P193" i="3"/>
  <c r="P129" i="3"/>
  <c r="P490" i="3"/>
  <c r="P460" i="3"/>
  <c r="P420" i="3"/>
  <c r="P394" i="3"/>
  <c r="P459" i="3"/>
  <c r="P430" i="3"/>
  <c r="P403" i="3"/>
  <c r="P382" i="3"/>
  <c r="P355" i="3"/>
  <c r="P327" i="3"/>
  <c r="P294" i="3"/>
  <c r="P272" i="3"/>
  <c r="P247" i="3"/>
  <c r="P210" i="3"/>
  <c r="P492" i="3"/>
  <c r="P475" i="3"/>
  <c r="P463" i="3"/>
  <c r="P446" i="3"/>
  <c r="P428" i="3"/>
  <c r="P423" i="3"/>
  <c r="P418" i="3"/>
  <c r="P412" i="3"/>
  <c r="P407" i="3"/>
  <c r="P402" i="3"/>
  <c r="P396" i="3"/>
  <c r="P391" i="3"/>
  <c r="P386" i="3"/>
  <c r="P380" i="3"/>
  <c r="P375" i="3"/>
  <c r="P370" i="3"/>
  <c r="P364" i="3"/>
  <c r="P359" i="3"/>
  <c r="P354" i="3"/>
  <c r="P348" i="3"/>
  <c r="P343" i="3"/>
  <c r="P331" i="3"/>
  <c r="P310" i="3"/>
  <c r="P298" i="3"/>
  <c r="P283" i="3"/>
  <c r="P271" i="3"/>
  <c r="P258" i="3"/>
  <c r="P252" i="3"/>
  <c r="P227" i="3"/>
  <c r="P215" i="3"/>
  <c r="P204" i="3"/>
  <c r="P198" i="3"/>
  <c r="P187" i="3"/>
  <c r="P181" i="3"/>
  <c r="P175" i="3"/>
  <c r="P154" i="3"/>
  <c r="P148" i="3"/>
  <c r="P142" i="3"/>
  <c r="P123" i="3"/>
  <c r="P116" i="3"/>
  <c r="P103" i="3"/>
  <c r="P86" i="3"/>
  <c r="P67" i="3"/>
  <c r="P60" i="3"/>
  <c r="P47" i="3"/>
  <c r="P40" i="3"/>
  <c r="P23" i="3"/>
  <c r="P10" i="3"/>
  <c r="P4" i="3"/>
  <c r="P477" i="3"/>
  <c r="P441" i="3"/>
  <c r="P377" i="3"/>
  <c r="P185" i="3"/>
  <c r="P121" i="3"/>
  <c r="P498" i="3"/>
  <c r="P486" i="3"/>
  <c r="P480" i="3"/>
  <c r="P474" i="3"/>
  <c r="P468" i="3"/>
  <c r="P451" i="3"/>
  <c r="P439" i="3"/>
  <c r="P434" i="3"/>
  <c r="P330" i="3"/>
  <c r="P315" i="3"/>
  <c r="P303" i="3"/>
  <c r="P282" i="3"/>
  <c r="P276" i="3"/>
  <c r="P270" i="3"/>
  <c r="P251" i="3"/>
  <c r="P239" i="3"/>
  <c r="P226" i="3"/>
  <c r="P214" i="3"/>
  <c r="P208" i="3"/>
  <c r="P203" i="3"/>
  <c r="P186" i="3"/>
  <c r="P180" i="3"/>
  <c r="P174" i="3"/>
  <c r="P164" i="3"/>
  <c r="P159" i="3"/>
  <c r="P135" i="3"/>
  <c r="P122" i="3"/>
  <c r="P102" i="3"/>
  <c r="P91" i="3"/>
  <c r="P79" i="3"/>
  <c r="P66" i="3"/>
  <c r="P59" i="3"/>
  <c r="P52" i="3"/>
  <c r="P46" i="3"/>
  <c r="P39" i="3"/>
  <c r="P28" i="3"/>
  <c r="P22" i="3"/>
  <c r="P16" i="3"/>
  <c r="P3" i="3"/>
  <c r="P473" i="3"/>
  <c r="P433" i="3"/>
  <c r="P369" i="3"/>
  <c r="P177" i="3"/>
  <c r="P113" i="3"/>
  <c r="P49" i="3"/>
  <c r="P411" i="3"/>
  <c r="P406" i="3"/>
  <c r="P395" i="3"/>
  <c r="P390" i="3"/>
  <c r="P379" i="3"/>
  <c r="P374" i="3"/>
  <c r="P363" i="3"/>
  <c r="P358" i="3"/>
  <c r="P347" i="3"/>
  <c r="P342" i="3"/>
  <c r="P314" i="3"/>
  <c r="P308" i="3"/>
  <c r="P302" i="3"/>
  <c r="P292" i="3"/>
  <c r="P287" i="3"/>
  <c r="P275" i="3"/>
  <c r="P263" i="3"/>
  <c r="P256" i="3"/>
  <c r="P250" i="3"/>
  <c r="P244" i="3"/>
  <c r="P238" i="3"/>
  <c r="P220" i="3"/>
  <c r="P202" i="3"/>
  <c r="P192" i="3"/>
  <c r="P163" i="3"/>
  <c r="P158" i="3"/>
  <c r="P147" i="3"/>
  <c r="P141" i="3"/>
  <c r="P134" i="3"/>
  <c r="P128" i="3"/>
  <c r="P115" i="3"/>
  <c r="P108" i="3"/>
  <c r="P96" i="3"/>
  <c r="P90" i="3"/>
  <c r="P84" i="3"/>
  <c r="P78" i="3"/>
  <c r="P58" i="3"/>
  <c r="P51" i="3"/>
  <c r="P38" i="3"/>
  <c r="P21" i="3"/>
  <c r="P15" i="3"/>
  <c r="P501" i="3"/>
  <c r="P469" i="3"/>
  <c r="P425" i="3"/>
  <c r="P361" i="3"/>
  <c r="P169" i="3"/>
  <c r="P467" i="3"/>
  <c r="P455" i="3"/>
  <c r="P450" i="3"/>
  <c r="P438" i="3"/>
  <c r="P432" i="3"/>
  <c r="P335" i="3"/>
  <c r="P324" i="3"/>
  <c r="P319" i="3"/>
  <c r="P307" i="3"/>
  <c r="P291" i="3"/>
  <c r="P286" i="3"/>
  <c r="P274" i="3"/>
  <c r="P262" i="3"/>
  <c r="P243" i="3"/>
  <c r="P231" i="3"/>
  <c r="P219" i="3"/>
  <c r="P207" i="3"/>
  <c r="P191" i="3"/>
  <c r="P179" i="3"/>
  <c r="P173" i="3"/>
  <c r="P168" i="3"/>
  <c r="P162" i="3"/>
  <c r="P157" i="3"/>
  <c r="P152" i="3"/>
  <c r="P146" i="3"/>
  <c r="P140" i="3"/>
  <c r="P127" i="3"/>
  <c r="P114" i="3"/>
  <c r="P107" i="3"/>
  <c r="P101" i="3"/>
  <c r="P95" i="3"/>
  <c r="P83" i="3"/>
  <c r="P71" i="3"/>
  <c r="P64" i="3"/>
  <c r="P50" i="3"/>
  <c r="P44" i="3"/>
  <c r="P37" i="3"/>
  <c r="P32" i="3"/>
  <c r="P27" i="3"/>
  <c r="P20" i="3"/>
  <c r="P14" i="3"/>
  <c r="P8" i="3"/>
  <c r="P497" i="3"/>
  <c r="P465" i="3"/>
  <c r="P417" i="3"/>
  <c r="P353" i="3"/>
  <c r="P161" i="3"/>
  <c r="P33" i="3"/>
  <c r="P495" i="3"/>
  <c r="P426" i="3"/>
  <c r="P378" i="3"/>
  <c r="P372" i="3"/>
  <c r="P367" i="3"/>
  <c r="P362" i="3"/>
  <c r="P356" i="3"/>
  <c r="P351" i="3"/>
  <c r="P346" i="3"/>
  <c r="P340" i="3"/>
  <c r="P334" i="3"/>
  <c r="P323" i="3"/>
  <c r="P318" i="3"/>
  <c r="P306" i="3"/>
  <c r="P290" i="3"/>
  <c r="P268" i="3"/>
  <c r="P255" i="3"/>
  <c r="P242" i="3"/>
  <c r="P230" i="3"/>
  <c r="P224" i="3"/>
  <c r="P218" i="3"/>
  <c r="P212" i="3"/>
  <c r="P206" i="3"/>
  <c r="P196" i="3"/>
  <c r="P190" i="3"/>
  <c r="P184" i="3"/>
  <c r="P178" i="3"/>
  <c r="P167" i="3"/>
  <c r="P139" i="3"/>
  <c r="P133" i="3"/>
  <c r="P126" i="3"/>
  <c r="P120" i="3"/>
  <c r="P106" i="3"/>
  <c r="P100" i="3"/>
  <c r="P94" i="3"/>
  <c r="P82" i="3"/>
  <c r="P70" i="3"/>
  <c r="P43" i="3"/>
  <c r="P26" i="3"/>
  <c r="P7" i="3"/>
  <c r="P493" i="3"/>
  <c r="P461" i="3"/>
  <c r="P409" i="3"/>
  <c r="P345" i="3"/>
  <c r="P153" i="3"/>
  <c r="P484" i="3"/>
  <c r="P431" i="3"/>
  <c r="P415" i="3"/>
  <c r="P383" i="3"/>
  <c r="P500" i="3"/>
  <c r="P483" i="3"/>
  <c r="P471" i="3"/>
  <c r="P466" i="3"/>
  <c r="P454" i="3"/>
  <c r="P448" i="3"/>
  <c r="P442" i="3"/>
  <c r="P436" i="3"/>
  <c r="P322" i="3"/>
  <c r="P295" i="3"/>
  <c r="P267" i="3"/>
  <c r="P254" i="3"/>
  <c r="P236" i="3"/>
  <c r="P211" i="3"/>
  <c r="P189" i="3"/>
  <c r="P183" i="3"/>
  <c r="P172" i="3"/>
  <c r="P166" i="3"/>
  <c r="P156" i="3"/>
  <c r="P151" i="3"/>
  <c r="P138" i="3"/>
  <c r="P132" i="3"/>
  <c r="P125" i="3"/>
  <c r="P119" i="3"/>
  <c r="P112" i="3"/>
  <c r="P99" i="3"/>
  <c r="P76" i="3"/>
  <c r="P63" i="3"/>
  <c r="P42" i="3"/>
  <c r="P36" i="3"/>
  <c r="P31" i="3"/>
  <c r="P19" i="3"/>
  <c r="P13" i="3"/>
  <c r="P6" i="3"/>
  <c r="P489" i="3"/>
  <c r="P457" i="3"/>
  <c r="P401" i="3"/>
  <c r="P337" i="3"/>
  <c r="P145" i="3"/>
  <c r="P1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<sst xmlns="http://schemas.openxmlformats.org/spreadsheetml/2006/main" count="3277" uniqueCount="699">
  <si>
    <t>MIS Executive – Excel &amp; Analytical Skills Assessment</t>
  </si>
  <si>
    <t>Purpose</t>
  </si>
  <si>
    <t>Tests practical Excel ability and analytical thinking for an MIS Executive role.</t>
  </si>
  <si>
    <t>Suggested time</t>
  </si>
  <si>
    <t>75–90 minutes</t>
  </si>
  <si>
    <t>Total marks</t>
  </si>
  <si>
    <t>100</t>
  </si>
  <si>
    <t>Important</t>
  </si>
  <si>
    <t>Do not edit the raw data sheets. Complete answers/formulas in the spaces provided.</t>
  </si>
  <si>
    <t>Candidate Name</t>
  </si>
  <si>
    <t>SECTION A</t>
  </si>
  <si>
    <t>Excel Fundamentals</t>
  </si>
  <si>
    <t>SECTION B</t>
  </si>
  <si>
    <t>Data Cleaning &amp; Lookups</t>
  </si>
  <si>
    <t>SECTION C</t>
  </si>
  <si>
    <t>Reporting &amp; Pivot Analysis</t>
  </si>
  <si>
    <t>SECTION D</t>
  </si>
  <si>
    <t>Business Analysis</t>
  </si>
  <si>
    <t>SECTION E</t>
  </si>
  <si>
    <t>MIS Judgment / Practical Situations</t>
  </si>
  <si>
    <t>ID</t>
  </si>
  <si>
    <t>Question</t>
  </si>
  <si>
    <t>A1</t>
  </si>
  <si>
    <t>In Transaction Data, calculate the Total Business Amount using Amount × 1 for successful transactions only. Use the Status field to exclude Failed transactions.</t>
  </si>
  <si>
    <t>A2</t>
  </si>
  <si>
    <t>Calculate the average successful transaction amount.</t>
  </si>
  <si>
    <t>A3</t>
  </si>
  <si>
    <t>Find the number of unique agents who had at least one successful transaction.</t>
  </si>
  <si>
    <t>A4</t>
  </si>
  <si>
    <t>Using a formula, return the month name from Transaction Date in a new column.</t>
  </si>
  <si>
    <t>A5</t>
  </si>
  <si>
    <t>Apply conditional formatting to highlight transactions above ₹10,000.</t>
  </si>
  <si>
    <t>B1</t>
  </si>
  <si>
    <t>Using Agent Master, bring Agent Name and ASM into Transaction Data using Agent ID. Use a lookup formula.</t>
  </si>
  <si>
    <t>B2</t>
  </si>
  <si>
    <t>Using Product Mapping, convert Product Code into Product Name.</t>
  </si>
  <si>
    <t>B3</t>
  </si>
  <si>
    <t>Identify and count transactions where Agent ID is missing from Agent Master.</t>
  </si>
  <si>
    <t>B4</t>
  </si>
  <si>
    <t>Create a clean Month column in the format YYYY-MM and use it consistently for reporting.</t>
  </si>
  <si>
    <t>B5</t>
  </si>
  <si>
    <t>Explain in one sentence when you would use XLOOKUP instead of VLOOKUP.</t>
  </si>
  <si>
    <t>C1</t>
  </si>
  <si>
    <t>Create a PivotTable showing Business Amount by Product.</t>
  </si>
  <si>
    <t>C2</t>
  </si>
  <si>
    <t>Create a PivotTable showing Business Amount by ASM.</t>
  </si>
  <si>
    <t>C3</t>
  </si>
  <si>
    <t>Create a month-wise Product-wise Business Amount report.</t>
  </si>
  <si>
    <t>C4</t>
  </si>
  <si>
    <t>Add transaction count and average transaction value to the Product report.</t>
  </si>
  <si>
    <t>C5</t>
  </si>
  <si>
    <t>Create a chart showing monthly Business Amount trend.</t>
  </si>
  <si>
    <t>D1</t>
  </si>
  <si>
    <t>Which product has the highest Business Amount? State the amount and percentage contribution to total.</t>
  </si>
  <si>
    <t>D2</t>
  </si>
  <si>
    <t>Which ASM has the lowest Business Amount among ASMs with at least 20 successful transactions? State the logic used.</t>
  </si>
  <si>
    <t>D3</t>
  </si>
  <si>
    <t>Identify the product with the biggest month-on-month decline in Business Amount. Show the calculation.</t>
  </si>
  <si>
    <t>Txn ID</t>
  </si>
  <si>
    <t>Transaction Date</t>
  </si>
  <si>
    <t>Agent ID</t>
  </si>
  <si>
    <t>Product Code</t>
  </si>
  <si>
    <t>Amount</t>
  </si>
  <si>
    <t>Status</t>
  </si>
  <si>
    <t>Transaction Type</t>
  </si>
  <si>
    <t>Region</t>
  </si>
  <si>
    <t>Month</t>
  </si>
  <si>
    <t>Agent Name</t>
  </si>
  <si>
    <t>ASM</t>
  </si>
  <si>
    <t>T0001</t>
  </si>
  <si>
    <t>A108</t>
  </si>
  <si>
    <t>P01</t>
  </si>
  <si>
    <t>Success</t>
  </si>
  <si>
    <t>Retailer</t>
  </si>
  <si>
    <t>West</t>
  </si>
  <si>
    <t>T0002</t>
  </si>
  <si>
    <t>A107</t>
  </si>
  <si>
    <t>P06</t>
  </si>
  <si>
    <t>East</t>
  </si>
  <si>
    <t>T0003</t>
  </si>
  <si>
    <t>A102</t>
  </si>
  <si>
    <t>North</t>
  </si>
  <si>
    <t>T0004</t>
  </si>
  <si>
    <t>A113</t>
  </si>
  <si>
    <t>Distributor</t>
  </si>
  <si>
    <t>T0005</t>
  </si>
  <si>
    <t>A138</t>
  </si>
  <si>
    <t>P03</t>
  </si>
  <si>
    <t>T0006</t>
  </si>
  <si>
    <t>A118</t>
  </si>
  <si>
    <t>P02</t>
  </si>
  <si>
    <t>T0007</t>
  </si>
  <si>
    <t>Failed</t>
  </si>
  <si>
    <t>T0008</t>
  </si>
  <si>
    <t>A130</t>
  </si>
  <si>
    <t>P05</t>
  </si>
  <si>
    <t>South</t>
  </si>
  <si>
    <t>T0009</t>
  </si>
  <si>
    <t>A999</t>
  </si>
  <si>
    <t>T0010</t>
  </si>
  <si>
    <t>A115</t>
  </si>
  <si>
    <t>T0011</t>
  </si>
  <si>
    <t>T0012</t>
  </si>
  <si>
    <t>T0013</t>
  </si>
  <si>
    <t>A116</t>
  </si>
  <si>
    <t>T0014</t>
  </si>
  <si>
    <t>A121</t>
  </si>
  <si>
    <t>T0015</t>
  </si>
  <si>
    <t>A105</t>
  </si>
  <si>
    <t>T0016</t>
  </si>
  <si>
    <t>P04</t>
  </si>
  <si>
    <t>T0017</t>
  </si>
  <si>
    <t>A136</t>
  </si>
  <si>
    <t>T0018</t>
  </si>
  <si>
    <t>T0019</t>
  </si>
  <si>
    <t>T0020</t>
  </si>
  <si>
    <t>T0021</t>
  </si>
  <si>
    <t>A101</t>
  </si>
  <si>
    <t>T0022</t>
  </si>
  <si>
    <t>T0023</t>
  </si>
  <si>
    <t>T0024</t>
  </si>
  <si>
    <t>T0025</t>
  </si>
  <si>
    <t>A124</t>
  </si>
  <si>
    <t>T0026</t>
  </si>
  <si>
    <t>T0027</t>
  </si>
  <si>
    <t>A137</t>
  </si>
  <si>
    <t>T0028</t>
  </si>
  <si>
    <t>A131</t>
  </si>
  <si>
    <t>T0029</t>
  </si>
  <si>
    <t>A135</t>
  </si>
  <si>
    <t>T0030</t>
  </si>
  <si>
    <t>T0031</t>
  </si>
  <si>
    <t>T0032</t>
  </si>
  <si>
    <t>T0033</t>
  </si>
  <si>
    <t>A103</t>
  </si>
  <si>
    <t>T0034</t>
  </si>
  <si>
    <t>A132</t>
  </si>
  <si>
    <t>T0035</t>
  </si>
  <si>
    <t>T0036</t>
  </si>
  <si>
    <t>A128</t>
  </si>
  <si>
    <t>T0037</t>
  </si>
  <si>
    <t>A126</t>
  </si>
  <si>
    <t>T0038</t>
  </si>
  <si>
    <t>T0039</t>
  </si>
  <si>
    <t>T0040</t>
  </si>
  <si>
    <t>T0041</t>
  </si>
  <si>
    <t>T0042</t>
  </si>
  <si>
    <t>A125</t>
  </si>
  <si>
    <t>T0043</t>
  </si>
  <si>
    <t>T0044</t>
  </si>
  <si>
    <t>A114</t>
  </si>
  <si>
    <t>T0045</t>
  </si>
  <si>
    <t>A104</t>
  </si>
  <si>
    <t>T0046</t>
  </si>
  <si>
    <t>A133</t>
  </si>
  <si>
    <t>T0047</t>
  </si>
  <si>
    <t>T0048</t>
  </si>
  <si>
    <t>A106</t>
  </si>
  <si>
    <t>T0049</t>
  </si>
  <si>
    <t>A117</t>
  </si>
  <si>
    <t>T0050</t>
  </si>
  <si>
    <t>A109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</si>
  <si>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</si>
  <si>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</si>
  <si>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</si>
  <si>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</si>
  <si>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</si>
  <si>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</si>
  <si>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</si>
  <si>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</si>
  <si>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</si>
  <si>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</si>
  <si>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A129</t>
  </si>
  <si>
    <t>T0061</t>
  </si>
  <si>
    <t>T0062</t>
  </si>
  <si>
    <t>T0063</t>
  </si>
  <si>
    <t>T0064</t>
  </si>
  <si>
    <t>T0065</t>
  </si>
  <si>
    <t>A112</t>
  </si>
  <si>
    <t>T0066</t>
  </si>
  <si>
    <t>A127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</si>
  <si>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</si>
  <si>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</si>
  <si>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</si>
  <si>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</si>
  <si>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</si>
  <si>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</si>
  <si>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</si>
  <si>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</si>
  <si>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A134</t>
  </si>
  <si>
    <t>T0075</t>
  </si>
  <si>
    <t>A122</t>
  </si>
  <si>
    <t>T0076</t>
  </si>
  <si>
    <t>A120</t>
  </si>
  <si>
    <t>T0077</t>
  </si>
  <si>
    <t>T0078</t>
  </si>
  <si>
    <t>T0079</t>
  </si>
  <si>
    <t>T0080</t>
  </si>
  <si>
    <t>T0081</t>
  </si>
  <si>
    <t>A111</t>
  </si>
  <si>
    <t>T0082</t>
  </si>
  <si>
    <t>T0083</t>
  </si>
  <si>
    <t>T0084</t>
  </si>
  <si>
    <t>T0085</t>
  </si>
  <si>
    <t>A110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</si>
  <si>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</si>
  <si>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</si>
  <si>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</si>
  <si>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</si>
  <si>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</si>
  <si>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</si>
  <si>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</si>
  <si>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</si>
  <si>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</si>
  <si>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</si>
  <si>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</si>
  <si>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A123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</si>
  <si>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</si>
  <si>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</si>
  <si>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</si>
  <si>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</si>
  <si>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</si>
  <si>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</si>
  <si>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</si>
  <si>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</si>
  <si>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</si>
  <si>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</si>
  <si>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</si>
  <si>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</si>
  <si>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</si>
  <si>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</si>
  <si>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</si>
  <si>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</si>
  <si>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</si>
  <si>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</si>
  <si>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</si>
  <si>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A140</t>
  </si>
  <si>
    <t>T0116</t>
  </si>
  <si>
    <t>T0117</t>
  </si>
  <si>
    <t>T0118</t>
  </si>
  <si>
    <t>T0119</t>
  </si>
  <si>
    <t>T0120</t>
  </si>
  <si>
    <t>A119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</si>
  <si>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</si>
  <si>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</si>
  <si>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</si>
  <si>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</si>
  <si>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</si>
  <si>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</si>
  <si>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</si>
  <si>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</si>
  <si>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</si>
  <si>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</si>
  <si>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</si>
  <si>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</si>
  <si>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A139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</si>
  <si>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</si>
  <si>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</si>
  <si>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</si>
  <si>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</si>
  <si>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</si>
  <si>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</si>
  <si>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</si>
  <si>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</si>
  <si>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</si>
  <si>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</si>
  <si>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</si>
  <si>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</si>
  <si>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</si>
  <si>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</si>
  <si>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</si>
  <si>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</si>
  <si>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</si>
  <si>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</si>
  <si>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</si>
  <si>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</si>
  <si>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</si>
  <si>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</si>
  <si>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</si>
  <si>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</si>
  <si>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</si>
  <si>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</si>
  <si>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</si>
  <si>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</si>
  <si>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</si>
  <si>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</si>
  <si>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</si>
  <si>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</si>
  <si>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</si>
  <si>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</si>
  <si>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</si>
  <si>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</si>
  <si>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</si>
  <si>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</si>
  <si>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</si>
  <si>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</si>
  <si>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</si>
  <si>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</si>
  <si>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</si>
  <si>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</si>
  <si>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</si>
  <si>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</si>
  <si>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</si>
  <si>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</si>
  <si>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</si>
  <si>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</si>
  <si>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</si>
  <si>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</si>
  <si>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</si>
  <si>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</si>
  <si>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</si>
  <si>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</si>
  <si>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</si>
  <si>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</si>
  <si>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</si>
  <si>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</si>
  <si>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</si>
  <si>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</si>
  <si>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</si>
  <si>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</si>
  <si>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</si>
  <si>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</si>
  <si>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</si>
  <si>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</si>
  <si>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</si>
  <si>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</si>
  <si>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</si>
  <si>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</si>
  <si>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</si>
  <si>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</si>
  <si>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</si>
  <si>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</si>
  <si>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</si>
  <si>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</si>
  <si>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</si>
  <si>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</si>
  <si>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</si>
  <si>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</si>
  <si>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</si>
  <si>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</si>
  <si>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</si>
  <si>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</si>
  <si>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</si>
  <si>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</si>
  <si>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</si>
  <si>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</si>
  <si>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</si>
  <si>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</si>
  <si>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</si>
  <si>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</si>
  <si>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</si>
  <si>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</si>
  <si>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</si>
  <si>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</si>
  <si>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</si>
  <si>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</si>
  <si>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</si>
  <si>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</si>
  <si>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</si>
  <si>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</si>
  <si>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</si>
  <si>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</si>
  <si>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</si>
  <si>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</si>
  <si>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</si>
  <si>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</si>
  <si>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</si>
  <si>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</si>
  <si>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</si>
  <si>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</si>
  <si>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</si>
  <si>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</si>
  <si>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</si>
  <si>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</si>
  <si>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</si>
  <si>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</si>
  <si>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</si>
  <si>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</si>
  <si>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</si>
  <si>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</si>
  <si>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</si>
  <si>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</si>
  <si>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</si>
  <si>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</si>
  <si>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</si>
  <si>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</si>
  <si>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</si>
  <si>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</si>
  <si>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</si>
  <si>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</si>
  <si>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</si>
  <si>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</si>
  <si>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</si>
  <si>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</si>
  <si>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</si>
  <si>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</si>
  <si>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</si>
  <si>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</si>
  <si>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</si>
  <si>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</si>
  <si>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</si>
  <si>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</si>
  <si>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</si>
  <si>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</si>
  <si>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</si>
  <si>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</si>
  <si>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</si>
  <si>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</si>
  <si>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</si>
  <si>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</si>
  <si>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</si>
  <si>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</si>
  <si>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</si>
  <si>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</si>
  <si>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</si>
  <si>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</si>
  <si>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</si>
  <si>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</si>
  <si>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</si>
  <si>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</si>
  <si>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</si>
  <si>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</si>
  <si>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</si>
  <si>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</si>
  <si>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</si>
  <si>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</si>
  <si>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</si>
  <si>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</si>
  <si>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</si>
  <si>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</si>
  <si>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</si>
  <si>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</si>
  <si>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</si>
  <si>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</si>
  <si>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</si>
  <si>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</si>
  <si>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</si>
  <si>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</si>
  <si>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</si>
  <si>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</si>
  <si>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</si>
  <si>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</si>
  <si>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</si>
  <si>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</si>
  <si>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</si>
  <si>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</si>
  <si>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</si>
  <si>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</si>
  <si>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</si>
  <si>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</si>
  <si>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</si>
  <si>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</si>
  <si>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</si>
  <si>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</si>
  <si>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</si>
  <si>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</si>
  <si>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</si>
  <si>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</si>
  <si>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</si>
  <si>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</si>
  <si>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</si>
  <si>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</si>
  <si>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</si>
  <si>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</si>
  <si>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</si>
  <si>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</si>
  <si>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</si>
  <si>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</si>
  <si>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</si>
  <si>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</si>
  <si>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</si>
  <si>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</si>
  <si>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</si>
  <si>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</si>
  <si>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</si>
  <si>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</si>
  <si>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</si>
  <si>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</si>
  <si>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</si>
  <si>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</si>
  <si>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</si>
  <si>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</si>
  <si>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</si>
  <si>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</si>
  <si>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</si>
  <si>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</si>
  <si>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</si>
  <si>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</si>
  <si>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</si>
  <si>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</si>
  <si>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</si>
  <si>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</si>
  <si>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</si>
  <si>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</si>
  <si>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</si>
  <si>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</si>
  <si>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</si>
  <si>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</si>
  <si>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</si>
  <si>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</si>
  <si>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</si>
  <si>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</si>
  <si>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</si>
  <si>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</si>
  <si>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</si>
  <si>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</si>
  <si>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</si>
  <si>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</si>
  <si>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</si>
  <si>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</si>
  <si>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</si>
  <si>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</si>
  <si>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</si>
  <si>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</si>
  <si>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</si>
  <si>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</si>
  <si>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</si>
  <si>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</si>
  <si>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</si>
  <si>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</si>
  <si>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</si>
  <si>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</si>
  <si>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</si>
  <si>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</si>
  <si>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</si>
  <si>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</si>
  <si>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</si>
  <si>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</si>
  <si>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</si>
  <si>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</si>
  <si>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</si>
  <si>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</si>
  <si>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</si>
  <si>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</si>
  <si>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</si>
  <si>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</si>
  <si>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</si>
  <si>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</si>
  <si>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</si>
  <si>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</si>
  <si>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</si>
  <si>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</si>
  <si>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</si>
  <si>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</si>
  <si>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</si>
  <si>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</si>
  <si>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</si>
  <si>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</si>
  <si>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</si>
  <si>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</si>
  <si>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</si>
  <si>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</si>
  <si>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</si>
  <si>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</si>
  <si>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</si>
  <si>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</si>
  <si>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</si>
  <si>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</si>
  <si>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</si>
  <si>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</si>
  <si>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</si>
  <si>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</si>
  <si>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</si>
  <si>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</si>
  <si>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</si>
  <si>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</si>
  <si>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</si>
  <si>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</si>
  <si>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</si>
  <si>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</si>
  <si>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</si>
  <si>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</si>
  <si>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</si>
  <si>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</si>
  <si>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</si>
  <si>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</si>
  <si>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</si>
  <si>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</si>
  <si>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</si>
  <si>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</si>
  <si>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</si>
  <si>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</si>
  <si>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</si>
  <si>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</si>
  <si>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</si>
  <si>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</si>
  <si>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</si>
  <si>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</si>
  <si>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</si>
  <si>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</si>
  <si>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</si>
  <si>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</si>
  <si>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</si>
  <si>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</si>
  <si>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</si>
  <si>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</si>
  <si>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</si>
  <si>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</si>
  <si>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</si>
  <si>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</si>
  <si>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</si>
  <si>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</si>
  <si>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</si>
  <si>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</si>
  <si>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</si>
  <si>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</si>
  <si>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</si>
  <si>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</si>
  <si>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</si>
  <si>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</si>
  <si>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</si>
  <si>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</si>
  <si>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</si>
  <si>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</si>
  <si>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</si>
  <si>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</si>
  <si>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</si>
  <si>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</si>
  <si>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</si>
  <si>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</si>
  <si>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</si>
  <si>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</si>
  <si>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</si>
  <si>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</si>
  <si>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Agent Master</t>
  </si>
  <si>
    <t>State</t>
  </si>
  <si>
    <t>Agent 101</t>
  </si>
  <si>
    <t>ASM North 1</t>
  </si>
  <si>
    <t>Delhi</t>
  </si>
  <si>
    <t>Agent 102</t>
  </si>
  <si>
    <t>ASM North 2</t>
  </si>
  <si>
    <t>Haryana</t>
  </si>
  <si>
    <t>Agent 103</t>
  </si>
  <si>
    <t>ASM West 1</t>
  </si>
  <si>
    <t>Maharashtra</t>
  </si>
  <si>
    <t>Agent 104</t>
  </si>
  <si>
    <t>ASM South 1</t>
  </si>
  <si>
    <t>Karnataka</t>
  </si>
  <si>
    <t>Agent 105</t>
  </si>
  <si>
    <t>ASM East 1</t>
  </si>
  <si>
    <t>West Bengal</t>
  </si>
  <si>
    <t>Agent 106</t>
  </si>
  <si>
    <t>Agent 107</t>
  </si>
  <si>
    <t>Agent 108</t>
  </si>
  <si>
    <t>Agent 109</t>
  </si>
  <si>
    <t>Agent 110</t>
  </si>
  <si>
    <t>Agent 111</t>
  </si>
  <si>
    <t>Agent 112</t>
  </si>
  <si>
    <t>Agent 113</t>
  </si>
  <si>
    <t>Agent 114</t>
  </si>
  <si>
    <t>Agent 115</t>
  </si>
  <si>
    <t>Agent 116</t>
  </si>
  <si>
    <t>Agent 117</t>
  </si>
  <si>
    <t>Agent 118</t>
  </si>
  <si>
    <t>Agent 119</t>
  </si>
  <si>
    <t>Agent 120</t>
  </si>
  <si>
    <t>Agent 121</t>
  </si>
  <si>
    <t>Agent 122</t>
  </si>
  <si>
    <t>Agent 123</t>
  </si>
  <si>
    <t>Agent 124</t>
  </si>
  <si>
    <t>Agent 125</t>
  </si>
  <si>
    <t>Agent 126</t>
  </si>
  <si>
    <t>Agent 127</t>
  </si>
  <si>
    <t>Agent 128</t>
  </si>
  <si>
    <t>Agent 129</t>
  </si>
  <si>
    <t>Agent 130</t>
  </si>
  <si>
    <t>Agent 131</t>
  </si>
  <si>
    <t>Agent 132</t>
  </si>
  <si>
    <t>Agent 133</t>
  </si>
  <si>
    <t>Agent 134</t>
  </si>
  <si>
    <t>Agent 135</t>
  </si>
  <si>
    <t>Agent 136</t>
  </si>
  <si>
    <t>Agent 137</t>
  </si>
  <si>
    <t>Agent 138</t>
  </si>
  <si>
    <t>Agent 139</t>
  </si>
  <si>
    <t>Agent 140</t>
  </si>
  <si>
    <t>Product Mapping</t>
  </si>
  <si>
    <t>Product Name</t>
  </si>
  <si>
    <t>Category</t>
  </si>
  <si>
    <t>AEPS</t>
  </si>
  <si>
    <t>Banking</t>
  </si>
  <si>
    <t>UPI</t>
  </si>
  <si>
    <t>Payments</t>
  </si>
  <si>
    <t>APAY</t>
  </si>
  <si>
    <t>DMT</t>
  </si>
  <si>
    <t>Remittance</t>
  </si>
  <si>
    <t>BBPS</t>
  </si>
  <si>
    <t>Bill Pay</t>
  </si>
  <si>
    <t>MATM</t>
  </si>
  <si>
    <t>Month_Name</t>
  </si>
  <si>
    <t>text()</t>
  </si>
  <si>
    <t>Product_Name</t>
  </si>
  <si>
    <t>year_Mpnth</t>
  </si>
  <si>
    <t>because vlookup search result from his right side only and xlookup search result both side</t>
  </si>
  <si>
    <t>Row Labels</t>
  </si>
  <si>
    <t>Grand Total</t>
  </si>
  <si>
    <t>Sum of Amount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</si>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</sst>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4" borderId="1" xfId="0" applyFill="1" applyBorder="1"/>
    <xf numFmtId="0" fontId="2" fillId="3" borderId="0" xfId="0" applyFont="1" applyFill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[MIS_Executive_Excel_Analytical_Test_1_2.xlsx]Sheet2!PivotTable2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Sheet2!$A$4:$A$18</c:f>
              <c:multiLvlStrCache>
                <c:ptCount val="12"/>
                <c:lvl>
                  <c:pt idx="0">
                    <c:v>AEPS</c:v>
                  </c:pt>
                  <c:pt idx="1">
                    <c:v>APAY</c:v>
                  </c:pt>
                  <c:pt idx="2">
                    <c:v>BBPS</c:v>
                  </c:pt>
                  <c:pt idx="3">
                    <c:v>DMT</c:v>
                  </c:pt>
                  <c:pt idx="4">
                    <c:v>MATM</c:v>
                  </c:pt>
                  <c:pt idx="5">
                    <c:v>UPI</c:v>
                  </c:pt>
                  <c:pt idx="6">
                    <c:v>AEPS</c:v>
                  </c:pt>
                  <c:pt idx="7">
                    <c:v>APAY</c:v>
                  </c:pt>
                  <c:pt idx="8">
                    <c:v>BBPS</c:v>
                  </c:pt>
                  <c:pt idx="9">
                    <c:v>DMT</c:v>
                  </c:pt>
                  <c:pt idx="10">
                    <c:v>MATM</c:v>
                  </c:pt>
                  <c:pt idx="11">
                    <c:v>UPI</c:v>
                  </c:pt>
                </c:lvl>
                <c:lvl>
                  <c:pt idx="0">
                    <c:v>August</c:v>
                  </c:pt>
                  <c:pt idx="6">
                    <c:v>September</c:v>
                  </c:pt>
                </c:lvl>
              </c:multiLvlStrCache>
            </c:multiLvlStrRef>
          </c:cat>
          <c:val>
            <c:numRef>
              <c:f>Sheet2!$B$4:$B$18</c:f>
              <c:numCache>
                <c:formatCode>General</c:formatCode>
                <c:ptCount val="12"/>
                <c:pt idx="0">
                  <c:v>197000</c:v>
                </c:pt>
                <c:pt idx="1">
                  <c:v>176750</c:v>
                </c:pt>
                <c:pt idx="2">
                  <c:v>249500</c:v>
                </c:pt>
                <c:pt idx="3">
                  <c:v>220750</c:v>
                </c:pt>
                <c:pt idx="4">
                  <c:v>324500</c:v>
                </c:pt>
                <c:pt idx="5">
                  <c:v>187250</c:v>
                </c:pt>
                <c:pt idx="6">
                  <c:v>144750</c:v>
                </c:pt>
                <c:pt idx="7">
                  <c:v>317250</c:v>
                </c:pt>
                <c:pt idx="8">
                  <c:v>129000</c:v>
                </c:pt>
                <c:pt idx="9">
                  <c:v>163250</c:v>
                </c:pt>
                <c:pt idx="10">
                  <c:v>340750</c:v>
                </c:pt>
                <c:pt idx="11">
                  <c:v>241000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4-4E60-A6EA-A0875D0B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698256"/>
        <c:axId val="1120694896"/>
      </c:lineChart>
      <c:catAx>
        <c:axId val="112069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94896"/>
        <c:crosses val="autoZero"/>
        <c:auto val="1"/>
        <c:lblAlgn val="ctr"/>
        <c:lblOffset val="100"/>
        <c:noMultiLvlLbl val="0"/>
      </c:catAx>
      <c:valAx>
        <c:axId val="11206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9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0</xdr:row>
      <xdr:rowOff>72390</xdr:rowOff>
    </xdr:from>
    <xdr:to>
      <xdr:col>11</xdr:col>
      <xdr:colOff>7620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BC4D2-7936-084C-8CE4-4CDABA6E8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 Jha" refreshedDate="46291.674749074074" createdVersion="8" refreshedVersion="8" minRefreshableVersion="3" recordCount="500" xr:uid="{AE893344-2E61-43CB-849F-B1DF771EF60A}">
  <cacheSource type="worksheet">
    <worksheetSource ref="A1:N501" sheet="Transaction Data"/>
  </cacheSource>
  <cacheFields count="14">
    <cacheField name="Txn ID" numFmtId="0">
      <sharedItems/>
    </cacheField>
    <cacheField name="Transaction Date" numFmtId="164">
      <sharedItems containsSemiMixedTypes="0" containsNonDate="0" containsDate="1" containsString="0" minDate="2026-08-01T00:00:00" maxDate="2026-09-30T00:00:00"/>
    </cacheField>
    <cacheField name="Agent ID" numFmtId="0">
      <sharedItems containsBlank="1"/>
    </cacheField>
    <cacheField name="Product Code" numFmtId="0">
      <sharedItems/>
    </cacheField>
    <cacheField name="Amount" numFmtId="0">
      <sharedItems containsSemiMixedTypes="0" containsString="0" containsNumber="1" containsInteger="1" minValue="250" maxValue="20000"/>
    </cacheField>
    <cacheField name="Status" numFmtId="0">
      <sharedItems count="2">
        <s v="Success"/>
        <s v="Failed"/>
      </sharedItems>
    </cacheField>
    <cacheField name="Transaction Type" numFmtId="0">
      <sharedItems/>
    </cacheField>
    <cacheField name="Region" numFmtId="0">
      <sharedItems/>
    </cacheField>
    <cacheField name="Month" numFmtId="0">
      <sharedItems/>
    </cacheField>
    <cacheField name="Agent Name" numFmtId="0">
      <sharedItems containsBlank="1"/>
    </cacheField>
    <cacheField name="ASM" numFmtId="0">
      <sharedItems/>
    </cacheField>
    <cacheField name="Month_Name" numFmtId="0">
      <sharedItems count="2">
        <s v="September"/>
        <s v="August"/>
      </sharedItems>
    </cacheField>
    <cacheField name="Product_Name" numFmtId="0">
      <sharedItems count="6">
        <s v="AEPS"/>
        <s v="MATM"/>
        <s v="APAY"/>
        <s v="UPI"/>
        <s v="BBPS"/>
        <s v="DMT"/>
      </sharedItems>
    </cacheField>
    <cacheField name="year_Mp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0001"/>
    <d v="2026-09-10T00:00:00"/>
    <s v="A108"/>
    <s v="P01"/>
    <n v="15000"/>
    <x v="0"/>
    <s v="Retailer"/>
    <s v="West"/>
    <s v="2026-09"/>
    <m/>
    <s v="Missing"/>
    <x v="0"/>
    <x v="0"/>
    <s v="2026-09"/>
  </r>
  <r>
    <s v="T0002"/>
    <d v="2026-08-09T00:00:00"/>
    <s v="A107"/>
    <s v="P06"/>
    <n v="15000"/>
    <x v="0"/>
    <s v="Retailer"/>
    <s v="East"/>
    <s v="2026-08"/>
    <s v="Missing"/>
    <s v="Missing"/>
    <x v="1"/>
    <x v="1"/>
    <s v="2026-08"/>
  </r>
  <r>
    <s v="T0003"/>
    <d v="2026-08-03T00:00:00"/>
    <s v="A102"/>
    <s v="P01"/>
    <n v="1000"/>
    <x v="0"/>
    <s v="Retailer"/>
    <s v="North"/>
    <s v="2026-08"/>
    <s v="Missing"/>
    <s v="Missing"/>
    <x v="1"/>
    <x v="0"/>
    <s v="2026-08"/>
  </r>
  <r>
    <s v="T0004"/>
    <d v="2026-09-05T00:00:00"/>
    <s v="A113"/>
    <s v="P06"/>
    <n v="12500"/>
    <x v="0"/>
    <s v="Distributor"/>
    <s v="West"/>
    <s v="2026-09"/>
    <s v="Missing"/>
    <s v="Missing"/>
    <x v="0"/>
    <x v="1"/>
    <s v="2026-09"/>
  </r>
  <r>
    <s v="T0005"/>
    <d v="2026-08-29T00:00:00"/>
    <s v="A138"/>
    <s v="P03"/>
    <n v="20000"/>
    <x v="0"/>
    <s v="Retailer"/>
    <s v="East"/>
    <s v="2026-08"/>
    <s v="Missing"/>
    <s v="Missing"/>
    <x v="1"/>
    <x v="2"/>
    <s v="2026-08"/>
  </r>
  <r>
    <s v="T0006"/>
    <d v="2026-08-22T00:00:00"/>
    <s v="A118"/>
    <s v="P02"/>
    <n v="1000"/>
    <x v="0"/>
    <s v="Retailer"/>
    <s v="North"/>
    <s v="2026-08"/>
    <s v="Missing"/>
    <s v="Missing"/>
    <x v="1"/>
    <x v="3"/>
    <s v="2026-08"/>
  </r>
  <r>
    <s v="T0007"/>
    <d v="2026-08-25T00:00:00"/>
    <s v="A107"/>
    <s v="P03"/>
    <n v="2000"/>
    <x v="1"/>
    <s v="Distributor"/>
    <s v="North"/>
    <s v="2026-08"/>
    <s v="Missing"/>
    <s v="Missing"/>
    <x v="1"/>
    <x v="2"/>
    <s v="2026-08"/>
  </r>
  <r>
    <s v="T0008"/>
    <d v="2026-09-16T00:00:00"/>
    <s v="A130"/>
    <s v="P05"/>
    <n v="500"/>
    <x v="0"/>
    <s v="Retailer"/>
    <s v="South"/>
    <s v="2026-09"/>
    <s v="Missing"/>
    <s v="Missing"/>
    <x v="0"/>
    <x v="4"/>
    <s v="2026-09"/>
  </r>
  <r>
    <s v="T0009"/>
    <d v="2026-09-23T00:00:00"/>
    <s v="A999"/>
    <s v="P05"/>
    <n v="2000"/>
    <x v="1"/>
    <s v="Retailer"/>
    <s v="North"/>
    <s v="2026-09"/>
    <s v="Missing"/>
    <s v="Missing"/>
    <x v="0"/>
    <x v="4"/>
    <s v="2026-09"/>
  </r>
  <r>
    <s v="T0010"/>
    <d v="2026-08-03T00:00:00"/>
    <s v="A115"/>
    <s v="P03"/>
    <n v="500"/>
    <x v="0"/>
    <s v="Retailer"/>
    <s v="East"/>
    <s v="2026-08"/>
    <s v="Missing"/>
    <s v="Missing"/>
    <x v="1"/>
    <x v="2"/>
    <s v="2026-08"/>
  </r>
  <r>
    <s v="T0011"/>
    <d v="2026-08-18T00:00:00"/>
    <s v="A130"/>
    <s v="P06"/>
    <n v="2000"/>
    <x v="0"/>
    <s v="Distributor"/>
    <s v="South"/>
    <s v="2026-08"/>
    <s v="Missing"/>
    <s v="Missing"/>
    <x v="1"/>
    <x v="1"/>
    <s v="2026-08"/>
  </r>
  <r>
    <s v="T0012"/>
    <d v="2026-08-14T00:00:00"/>
    <s v="A118"/>
    <s v="P06"/>
    <n v="12500"/>
    <x v="0"/>
    <s v="Retailer"/>
    <s v="West"/>
    <s v="2026-08"/>
    <s v="Missing"/>
    <s v="Missing"/>
    <x v="1"/>
    <x v="1"/>
    <s v="2026-08"/>
  </r>
  <r>
    <s v="T0013"/>
    <d v="2026-09-04T00:00:00"/>
    <s v="A116"/>
    <s v="P02"/>
    <n v="5000"/>
    <x v="0"/>
    <s v="Distributor"/>
    <s v="West"/>
    <s v="2026-09"/>
    <s v="Missing"/>
    <s v="Missing"/>
    <x v="0"/>
    <x v="3"/>
    <s v="2026-09"/>
  </r>
  <r>
    <s v="T0014"/>
    <d v="2026-09-13T00:00:00"/>
    <s v="A121"/>
    <s v="P01"/>
    <n v="1000"/>
    <x v="0"/>
    <s v="Distributor"/>
    <s v="East"/>
    <s v="2026-09"/>
    <s v="Missing"/>
    <s v="Missing"/>
    <x v="0"/>
    <x v="0"/>
    <s v="2026-09"/>
  </r>
  <r>
    <s v="T0015"/>
    <d v="2026-08-18T00:00:00"/>
    <s v="A105"/>
    <s v="P02"/>
    <n v="10000"/>
    <x v="0"/>
    <s v="Retailer"/>
    <s v="East"/>
    <s v="2026-08"/>
    <s v="Missing"/>
    <s v="Missing"/>
    <x v="1"/>
    <x v="3"/>
    <s v="2026-08"/>
  </r>
  <r>
    <s v="T0016"/>
    <d v="2026-08-26T00:00:00"/>
    <m/>
    <s v="P04"/>
    <n v="750"/>
    <x v="0"/>
    <s v="Retailer"/>
    <s v="West"/>
    <s v="2026-08"/>
    <s v="Missing"/>
    <s v="Missing"/>
    <x v="1"/>
    <x v="5"/>
    <s v="2026-08"/>
  </r>
  <r>
    <s v="T0017"/>
    <d v="2026-09-17T00:00:00"/>
    <s v="A136"/>
    <s v="P05"/>
    <n v="1500"/>
    <x v="1"/>
    <s v="Distributor"/>
    <s v="East"/>
    <s v="2026-09"/>
    <s v="Missing"/>
    <s v="Missing"/>
    <x v="0"/>
    <x v="4"/>
    <s v="2026-09"/>
  </r>
  <r>
    <s v="T0018"/>
    <d v="2026-08-24T00:00:00"/>
    <s v="A115"/>
    <s v="P02"/>
    <n v="7500"/>
    <x v="0"/>
    <s v="Retailer"/>
    <s v="North"/>
    <s v="2026-08"/>
    <s v="Missing"/>
    <s v="Missing"/>
    <x v="1"/>
    <x v="3"/>
    <s v="2026-08"/>
  </r>
  <r>
    <s v="T0019"/>
    <d v="2026-09-25T00:00:00"/>
    <s v="A108"/>
    <s v="P02"/>
    <n v="12500"/>
    <x v="0"/>
    <s v="Retailer"/>
    <s v="East"/>
    <s v="2026-09"/>
    <s v="Missing"/>
    <s v="Missing"/>
    <x v="0"/>
    <x v="3"/>
    <s v="2026-09"/>
  </r>
  <r>
    <s v="T0020"/>
    <d v="2026-09-08T00:00:00"/>
    <s v="A105"/>
    <s v="P04"/>
    <n v="2500"/>
    <x v="1"/>
    <s v="Distributor"/>
    <s v="South"/>
    <s v="2026-09"/>
    <s v="Missing"/>
    <s v="Missing"/>
    <x v="0"/>
    <x v="5"/>
    <s v="2026-09"/>
  </r>
  <r>
    <s v="T0021"/>
    <d v="2026-09-05T00:00:00"/>
    <s v="A101"/>
    <s v="P06"/>
    <n v="15000"/>
    <x v="0"/>
    <s v="Retailer"/>
    <s v="South"/>
    <s v="2026-09"/>
    <s v="Missing"/>
    <s v="Missing"/>
    <x v="0"/>
    <x v="1"/>
    <s v="2026-09"/>
  </r>
  <r>
    <s v="T0022"/>
    <d v="2026-09-19T00:00:00"/>
    <m/>
    <s v="P03"/>
    <n v="500"/>
    <x v="0"/>
    <s v="Distributor"/>
    <s v="West"/>
    <s v="2026-09"/>
    <s v="Missing"/>
    <s v="Missing"/>
    <x v="0"/>
    <x v="2"/>
    <s v="2026-09"/>
  </r>
  <r>
    <s v="T0023"/>
    <d v="2026-08-30T00:00:00"/>
    <s v="A101"/>
    <s v="P06"/>
    <n v="15000"/>
    <x v="0"/>
    <s v="Retailer"/>
    <s v="West"/>
    <s v="2026-08"/>
    <s v="Missing"/>
    <s v="Missing"/>
    <x v="1"/>
    <x v="1"/>
    <s v="2026-08"/>
  </r>
  <r>
    <s v="T0024"/>
    <d v="2026-09-02T00:00:00"/>
    <s v="A107"/>
    <s v="P06"/>
    <n v="1500"/>
    <x v="0"/>
    <s v="Retailer"/>
    <s v="West"/>
    <s v="2026-09"/>
    <s v="Missing"/>
    <s v="Missing"/>
    <x v="0"/>
    <x v="1"/>
    <s v="2026-09"/>
  </r>
  <r>
    <s v="T0025"/>
    <d v="2026-08-10T00:00:00"/>
    <s v="A124"/>
    <s v="P02"/>
    <n v="7500"/>
    <x v="0"/>
    <s v="Retailer"/>
    <s v="South"/>
    <s v="2026-08"/>
    <s v="Missing"/>
    <s v="Missing"/>
    <x v="1"/>
    <x v="3"/>
    <s v="2026-08"/>
  </r>
  <r>
    <s v="T0026"/>
    <d v="2026-09-01T00:00:00"/>
    <s v="A102"/>
    <s v="P01"/>
    <n v="2000"/>
    <x v="0"/>
    <s v="Retailer"/>
    <s v="North"/>
    <s v="2026-09"/>
    <s v="Missing"/>
    <s v="Missing"/>
    <x v="0"/>
    <x v="0"/>
    <s v="2026-09"/>
  </r>
  <r>
    <s v="T0027"/>
    <d v="2026-08-16T00:00:00"/>
    <s v="A137"/>
    <s v="P01"/>
    <n v="500"/>
    <x v="0"/>
    <s v="Retailer"/>
    <s v="West"/>
    <s v="2026-08"/>
    <s v="Missing"/>
    <s v="Missing"/>
    <x v="1"/>
    <x v="0"/>
    <s v="2026-08"/>
  </r>
  <r>
    <s v="T0028"/>
    <d v="2026-08-09T00:00:00"/>
    <s v="A131"/>
    <s v="P05"/>
    <n v="750"/>
    <x v="0"/>
    <s v="Retailer"/>
    <s v="East"/>
    <s v="2026-08"/>
    <s v="Missing"/>
    <s v="Missing"/>
    <x v="1"/>
    <x v="4"/>
    <s v="2026-08"/>
  </r>
  <r>
    <s v="T0029"/>
    <d v="2026-08-14T00:00:00"/>
    <s v="A135"/>
    <s v="P06"/>
    <n v="15000"/>
    <x v="0"/>
    <s v="Retailer"/>
    <s v="South"/>
    <s v="2026-08"/>
    <s v="Missing"/>
    <s v="Missing"/>
    <x v="1"/>
    <x v="1"/>
    <s v="2026-08"/>
  </r>
  <r>
    <s v="T0030"/>
    <d v="2026-08-26T00:00:00"/>
    <m/>
    <s v="P03"/>
    <n v="5000"/>
    <x v="0"/>
    <s v="Distributor"/>
    <s v="North"/>
    <s v="2026-08"/>
    <s v="Missing"/>
    <s v="Missing"/>
    <x v="1"/>
    <x v="2"/>
    <s v="2026-08"/>
  </r>
  <r>
    <s v="T0031"/>
    <d v="2026-08-16T00:00:00"/>
    <s v="A115"/>
    <s v="P01"/>
    <n v="2000"/>
    <x v="0"/>
    <s v="Retailer"/>
    <s v="West"/>
    <s v="2026-08"/>
    <s v="Missing"/>
    <s v="Missing"/>
    <x v="1"/>
    <x v="0"/>
    <s v="2026-08"/>
  </r>
  <r>
    <s v="T0032"/>
    <d v="2026-09-07T00:00:00"/>
    <s v="A115"/>
    <s v="P01"/>
    <n v="500"/>
    <x v="0"/>
    <s v="Retailer"/>
    <s v="North"/>
    <s v="2026-09"/>
    <s v="Missing"/>
    <s v="Missing"/>
    <x v="0"/>
    <x v="0"/>
    <s v="2026-09"/>
  </r>
  <r>
    <s v="T0033"/>
    <d v="2026-09-27T00:00:00"/>
    <s v="A103"/>
    <s v="P03"/>
    <n v="500"/>
    <x v="0"/>
    <s v="Retailer"/>
    <s v="South"/>
    <s v="2026-09"/>
    <s v="Missing"/>
    <s v="Missing"/>
    <x v="0"/>
    <x v="2"/>
    <s v="2026-09"/>
  </r>
  <r>
    <s v="T0034"/>
    <d v="2026-09-12T00:00:00"/>
    <s v="A132"/>
    <s v="P02"/>
    <n v="7500"/>
    <x v="0"/>
    <s v="Retailer"/>
    <s v="East"/>
    <s v="2026-09"/>
    <s v="Missing"/>
    <s v="Missing"/>
    <x v="0"/>
    <x v="3"/>
    <s v="2026-09"/>
  </r>
  <r>
    <s v="T0035"/>
    <d v="2026-08-16T00:00:00"/>
    <s v="A131"/>
    <s v="P04"/>
    <n v="1000"/>
    <x v="0"/>
    <s v="Retailer"/>
    <s v="East"/>
    <s v="2026-08"/>
    <s v="Missing"/>
    <s v="Missing"/>
    <x v="1"/>
    <x v="5"/>
    <s v="2026-08"/>
  </r>
  <r>
    <s v="T0036"/>
    <d v="2026-08-23T00:00:00"/>
    <s v="A128"/>
    <s v="P04"/>
    <n v="5000"/>
    <x v="0"/>
    <s v="Retailer"/>
    <s v="North"/>
    <s v="2026-08"/>
    <s v="Missing"/>
    <s v="Missing"/>
    <x v="1"/>
    <x v="5"/>
    <s v="2026-08"/>
  </r>
  <r>
    <s v="T0037"/>
    <d v="2026-08-04T00:00:00"/>
    <s v="A126"/>
    <s v="P06"/>
    <n v="2000"/>
    <x v="0"/>
    <s v="Retailer"/>
    <s v="West"/>
    <s v="2026-08"/>
    <s v="Missing"/>
    <s v="Missing"/>
    <x v="1"/>
    <x v="1"/>
    <s v="2026-08"/>
  </r>
  <r>
    <s v="T0038"/>
    <d v="2026-08-13T00:00:00"/>
    <s v="A135"/>
    <s v="P04"/>
    <n v="750"/>
    <x v="0"/>
    <s v="Retailer"/>
    <s v="South"/>
    <s v="2026-08"/>
    <s v="Missing"/>
    <s v="Missing"/>
    <x v="1"/>
    <x v="5"/>
    <s v="2026-08"/>
  </r>
  <r>
    <s v="T0039"/>
    <d v="2026-08-30T00:00:00"/>
    <s v="A116"/>
    <s v="P01"/>
    <n v="5000"/>
    <x v="0"/>
    <s v="Retailer"/>
    <s v="North"/>
    <s v="2026-08"/>
    <s v="Missing"/>
    <s v="Missing"/>
    <x v="1"/>
    <x v="0"/>
    <s v="2026-08"/>
  </r>
  <r>
    <s v="T0040"/>
    <d v="2026-09-11T00:00:00"/>
    <s v="A135"/>
    <s v="P01"/>
    <n v="500"/>
    <x v="0"/>
    <s v="Retailer"/>
    <s v="East"/>
    <s v="2026-09"/>
    <s v="Missing"/>
    <s v="Missing"/>
    <x v="0"/>
    <x v="0"/>
    <s v="2026-09"/>
  </r>
  <r>
    <s v="T0041"/>
    <d v="2026-09-01T00:00:00"/>
    <s v="A131"/>
    <s v="P02"/>
    <n v="2500"/>
    <x v="0"/>
    <s v="Retailer"/>
    <s v="East"/>
    <s v="2026-09"/>
    <s v="Missing"/>
    <s v="Missing"/>
    <x v="0"/>
    <x v="3"/>
    <s v="2026-09"/>
  </r>
  <r>
    <s v="T0042"/>
    <d v="2026-08-01T00:00:00"/>
    <s v="A125"/>
    <s v="P03"/>
    <n v="20000"/>
    <x v="0"/>
    <s v="Distributor"/>
    <s v="East"/>
    <s v="2026-08"/>
    <s v="Missing"/>
    <s v="Missing"/>
    <x v="1"/>
    <x v="2"/>
    <s v="2026-08"/>
  </r>
  <r>
    <s v="T0043"/>
    <d v="2026-09-14T00:00:00"/>
    <s v="A136"/>
    <s v="P06"/>
    <n v="15000"/>
    <x v="0"/>
    <s v="Retailer"/>
    <s v="West"/>
    <s v="2026-09"/>
    <s v="Missing"/>
    <s v="Missing"/>
    <x v="0"/>
    <x v="1"/>
    <s v="2026-09"/>
  </r>
  <r>
    <s v="T0044"/>
    <d v="2026-08-19T00:00:00"/>
    <s v="A114"/>
    <s v="P01"/>
    <n v="10000"/>
    <x v="0"/>
    <s v="Retailer"/>
    <s v="South"/>
    <s v="2026-08"/>
    <s v="Missing"/>
    <s v="Missing"/>
    <x v="1"/>
    <x v="0"/>
    <s v="2026-08"/>
  </r>
  <r>
    <s v="T0045"/>
    <d v="2026-08-04T00:00:00"/>
    <s v="A104"/>
    <s v="P05"/>
    <n v="5000"/>
    <x v="0"/>
    <s v="Retailer"/>
    <s v="West"/>
    <s v="2026-08"/>
    <s v="Missing"/>
    <s v="Missing"/>
    <x v="1"/>
    <x v="4"/>
    <s v="2026-08"/>
  </r>
  <r>
    <s v="T0046"/>
    <d v="2026-08-04T00:00:00"/>
    <s v="A133"/>
    <s v="P01"/>
    <n v="750"/>
    <x v="0"/>
    <s v="Retailer"/>
    <s v="North"/>
    <s v="2026-08"/>
    <s v="Missing"/>
    <s v="Missing"/>
    <x v="1"/>
    <x v="0"/>
    <s v="2026-08"/>
  </r>
  <r>
    <s v="T0047"/>
    <d v="2026-09-13T00:00:00"/>
    <s v="A116"/>
    <s v="P04"/>
    <n v="500"/>
    <x v="1"/>
    <s v="Retailer"/>
    <s v="North"/>
    <s v="2026-09"/>
    <s v="Missing"/>
    <s v="Missing"/>
    <x v="0"/>
    <x v="5"/>
    <s v="2026-09"/>
  </r>
  <r>
    <s v="T0048"/>
    <d v="2026-09-09T00:00:00"/>
    <s v="A106"/>
    <s v="P04"/>
    <n v="12500"/>
    <x v="1"/>
    <s v="Retailer"/>
    <s v="South"/>
    <s v="2026-09"/>
    <s v="Missing"/>
    <s v="Missing"/>
    <x v="0"/>
    <x v="5"/>
    <s v="2026-09"/>
  </r>
  <r>
    <s v="T0049"/>
    <d v="2026-09-29T00:00:00"/>
    <s v="A117"/>
    <s v="P02"/>
    <n v="12500"/>
    <x v="0"/>
    <s v="Retailer"/>
    <s v="South"/>
    <s v="2026-09"/>
    <s v="Missing"/>
    <s v="Missing"/>
    <x v="0"/>
    <x v="3"/>
    <s v="2026-09"/>
  </r>
  <r>
    <s v="T0050"/>
    <d v="2026-08-26T00:00:00"/>
    <s v="A109"/>
    <s v="P06"/>
    <n v="12500"/>
    <x v="0"/>
    <s v="Distributor"/>
    <s v="South"/>
    <s v="2026-08"/>
    <s v="Missing"/>
    <s v="Missing"/>
    <x v="1"/>
    <x v="1"/>
    <s v="2026-08"/>
  </r>
  <r>
    <s v="T0051"/>
    <d v="2026-09-29T00:00:00"/>
    <s v="A105"/>
    <s v="P01"/>
    <n v="5000"/>
    <x v="1"/>
    <s v="Retailer"/>
    <s v="North"/>
    <s v="2026-09"/>
    <s v="Missing"/>
    <s v="Missing"/>
    <x v="0"/>
    <x v="0"/>
    <s v="2026-09"/>
  </r>
  <r>
    <s v="T0052"/>
    <d v="2026-08-05T00:00:00"/>
    <s v="A135"/>
    <s v="P02"/>
    <n v="7500"/>
    <x v="0"/>
    <s v="Retailer"/>
    <s v="South"/>
    <s v="2026-08"/>
    <s v="Missing"/>
    <s v="Missing"/>
    <x v="1"/>
    <x v="3"/>
    <s v="2026-08"/>
  </r>
  <r>
    <s v="T0053"/>
    <d v="2026-09-26T00:00:00"/>
    <s v="A105"/>
    <s v="P02"/>
    <n v="2000"/>
    <x v="0"/>
    <s v="Retailer"/>
    <s v="East"/>
    <s v="2026-09"/>
    <s v="Missing"/>
    <s v="Missing"/>
    <x v="0"/>
    <x v="3"/>
    <s v="2026-09"/>
  </r>
  <r>
    <s v="T0054"/>
    <d v="2026-09-23T00:00:00"/>
    <s v="A135"/>
    <s v="P06"/>
    <n v="1500"/>
    <x v="1"/>
    <s v="Retailer"/>
    <s v="North"/>
    <s v="2026-09"/>
    <s v="Missing"/>
    <s v="Missing"/>
    <x v="0"/>
    <x v="1"/>
    <s v="2026-09"/>
  </r>
  <r>
    <s v="T0055"/>
    <d v="2026-09-12T00:00:00"/>
    <s v="A136"/>
    <s v="P03"/>
    <n v="12500"/>
    <x v="0"/>
    <s v="Retailer"/>
    <s v="South"/>
    <s v="2026-09"/>
    <s v="Missing"/>
    <s v="Missing"/>
    <x v="0"/>
    <x v="2"/>
    <s v="2026-09"/>
  </r>
  <r>
    <s v="T0056"/>
    <d v="2026-08-08T00:00:00"/>
    <s v="A107"/>
    <s v="P06"/>
    <n v="7500"/>
    <x v="0"/>
    <s v="Distributor"/>
    <s v="South"/>
    <s v="2026-08"/>
    <s v="Missing"/>
    <s v="Missing"/>
    <x v="1"/>
    <x v="1"/>
    <s v="2026-08"/>
  </r>
  <r>
    <s v="T0057"/>
    <d v="2026-09-08T00:00:00"/>
    <s v="A114"/>
    <s v="P06"/>
    <n v="2000"/>
    <x v="0"/>
    <s v="Retailer"/>
    <s v="South"/>
    <s v="2026-09"/>
    <s v="Missing"/>
    <s v="Missing"/>
    <x v="0"/>
    <x v="1"/>
    <s v="2026-09"/>
  </r>
  <r>
    <s v="T0058"/>
    <d v="2026-09-02T00:00:00"/>
    <s v="A132"/>
    <s v="P03"/>
    <n v="250"/>
    <x v="0"/>
    <s v="Retailer"/>
    <s v="East"/>
    <s v="2026-09"/>
    <s v="Missing"/>
    <s v="Missing"/>
    <x v="0"/>
    <x v="2"/>
    <s v="2026-09"/>
  </r>
  <r>
    <s v="T0059"/>
    <d v="2026-09-23T00:00:00"/>
    <s v="A118"/>
    <s v="P01"/>
    <n v="250"/>
    <x v="0"/>
    <s v="Retailer"/>
    <s v="South"/>
    <s v="2026-09"/>
    <s v="Missing"/>
    <s v="Missing"/>
    <x v="0"/>
    <x v="0"/>
    <s v="2026-09"/>
  </r>
  <r>
    <s v="T0060"/>
    <d v="2026-08-11T00:00:00"/>
    <s v="A129"/>
    <s v="P05"/>
    <n v="15000"/>
    <x v="0"/>
    <s v="Retailer"/>
    <s v="North"/>
    <s v="2026-08"/>
    <s v="Missing"/>
    <s v="Missing"/>
    <x v="1"/>
    <x v="4"/>
    <s v="2026-08"/>
  </r>
  <r>
    <s v="T0061"/>
    <d v="2026-08-08T00:00:00"/>
    <s v="A105"/>
    <s v="P06"/>
    <n v="750"/>
    <x v="0"/>
    <s v="Retailer"/>
    <s v="South"/>
    <s v="2026-08"/>
    <s v="Missing"/>
    <s v="Missing"/>
    <x v="1"/>
    <x v="1"/>
    <s v="2026-08"/>
  </r>
  <r>
    <s v="T0062"/>
    <d v="2026-09-07T00:00:00"/>
    <s v="A136"/>
    <s v="P02"/>
    <n v="2500"/>
    <x v="0"/>
    <s v="Retailer"/>
    <s v="South"/>
    <s v="2026-09"/>
    <s v="Missing"/>
    <s v="Missing"/>
    <x v="0"/>
    <x v="3"/>
    <s v="2026-09"/>
  </r>
  <r>
    <s v="T0063"/>
    <d v="2026-08-24T00:00:00"/>
    <s v="A103"/>
    <s v="P03"/>
    <n v="1000"/>
    <x v="0"/>
    <s v="Retailer"/>
    <s v="North"/>
    <s v="2026-08"/>
    <s v="Missing"/>
    <s v="Missing"/>
    <x v="1"/>
    <x v="2"/>
    <s v="2026-08"/>
  </r>
  <r>
    <s v="T0064"/>
    <d v="2026-08-23T00:00:00"/>
    <s v="A136"/>
    <s v="P04"/>
    <n v="10000"/>
    <x v="0"/>
    <s v="Retailer"/>
    <s v="West"/>
    <s v="2026-08"/>
    <s v="Missing"/>
    <s v="Missing"/>
    <x v="1"/>
    <x v="5"/>
    <s v="2026-08"/>
  </r>
  <r>
    <s v="T0065"/>
    <d v="2026-09-21T00:00:00"/>
    <s v="A112"/>
    <s v="P04"/>
    <n v="250"/>
    <x v="0"/>
    <s v="Retailer"/>
    <s v="South"/>
    <s v="2026-09"/>
    <s v="Missing"/>
    <s v="Missing"/>
    <x v="0"/>
    <x v="5"/>
    <s v="2026-09"/>
  </r>
  <r>
    <s v="T0066"/>
    <d v="2026-09-20T00:00:00"/>
    <s v="A127"/>
    <s v="P06"/>
    <n v="15000"/>
    <x v="0"/>
    <s v="Distributor"/>
    <s v="West"/>
    <s v="2026-09"/>
    <s v="Missing"/>
    <s v="Missing"/>
    <x v="0"/>
    <x v="1"/>
    <s v="2026-09"/>
  </r>
  <r>
    <s v="T0067"/>
    <d v="2026-09-20T00:00:00"/>
    <s v="A107"/>
    <s v="P04"/>
    <n v="250"/>
    <x v="0"/>
    <s v="Retailer"/>
    <s v="West"/>
    <s v="2026-09"/>
    <s v="Missing"/>
    <s v="Missing"/>
    <x v="0"/>
    <x v="5"/>
    <s v="2026-09"/>
  </r>
  <r>
    <s v="T0068"/>
    <d v="2026-09-22T00:00:00"/>
    <s v="A130"/>
    <s v="P03"/>
    <n v="1500"/>
    <x v="0"/>
    <s v="Retailer"/>
    <s v="North"/>
    <s v="2026-09"/>
    <s v="Missing"/>
    <s v="Missing"/>
    <x v="0"/>
    <x v="2"/>
    <s v="2026-09"/>
  </r>
  <r>
    <s v="T0069"/>
    <d v="2026-09-12T00:00:00"/>
    <s v="A113"/>
    <s v="P04"/>
    <n v="2000"/>
    <x v="0"/>
    <s v="Retailer"/>
    <s v="South"/>
    <s v="2026-09"/>
    <s v="Missing"/>
    <s v="Missing"/>
    <x v="0"/>
    <x v="5"/>
    <s v="2026-09"/>
  </r>
  <r>
    <s v="T0070"/>
    <d v="2026-08-23T00:00:00"/>
    <m/>
    <s v="P05"/>
    <n v="2500"/>
    <x v="0"/>
    <s v="Distributor"/>
    <s v="North"/>
    <s v="2026-08"/>
    <s v="Missing"/>
    <s v="Missing"/>
    <x v="1"/>
    <x v="4"/>
    <s v="2026-08"/>
  </r>
  <r>
    <s v="T0071"/>
    <d v="2026-08-08T00:00:00"/>
    <s v="A117"/>
    <s v="P02"/>
    <n v="10000"/>
    <x v="0"/>
    <s v="Retailer"/>
    <s v="North"/>
    <s v="2026-08"/>
    <s v="Missing"/>
    <s v="Missing"/>
    <x v="1"/>
    <x v="3"/>
    <s v="2026-08"/>
  </r>
  <r>
    <s v="T0072"/>
    <d v="2026-09-08T00:00:00"/>
    <s v="A128"/>
    <s v="P03"/>
    <n v="15000"/>
    <x v="0"/>
    <s v="Distributor"/>
    <s v="North"/>
    <s v="2026-09"/>
    <s v="Missing"/>
    <s v="Missing"/>
    <x v="0"/>
    <x v="2"/>
    <s v="2026-09"/>
  </r>
  <r>
    <s v="T0073"/>
    <d v="2026-08-25T00:00:00"/>
    <s v="A137"/>
    <s v="P02"/>
    <n v="1500"/>
    <x v="0"/>
    <s v="Retailer"/>
    <s v="East"/>
    <s v="2026-08"/>
    <s v="Missing"/>
    <s v="Missing"/>
    <x v="1"/>
    <x v="3"/>
    <s v="2026-08"/>
  </r>
  <r>
    <s v="T0074"/>
    <d v="2026-08-01T00:00:00"/>
    <s v="A134"/>
    <s v="P05"/>
    <n v="12500"/>
    <x v="0"/>
    <s v="Distributor"/>
    <s v="East"/>
    <s v="2026-08"/>
    <s v="Missing"/>
    <s v="Missing"/>
    <x v="1"/>
    <x v="4"/>
    <s v="2026-08"/>
  </r>
  <r>
    <s v="T0075"/>
    <d v="2026-08-05T00:00:00"/>
    <s v="A122"/>
    <s v="P05"/>
    <n v="2000"/>
    <x v="0"/>
    <s v="Retailer"/>
    <s v="South"/>
    <s v="2026-08"/>
    <s v="Missing"/>
    <s v="Missing"/>
    <x v="1"/>
    <x v="4"/>
    <s v="2026-08"/>
  </r>
  <r>
    <s v="T0076"/>
    <d v="2026-09-02T00:00:00"/>
    <s v="A120"/>
    <s v="P06"/>
    <n v="2500"/>
    <x v="0"/>
    <s v="Distributor"/>
    <s v="South"/>
    <s v="2026-09"/>
    <s v="Missing"/>
    <s v="Missing"/>
    <x v="0"/>
    <x v="1"/>
    <s v="2026-09"/>
  </r>
  <r>
    <s v="T0077"/>
    <d v="2026-09-05T00:00:00"/>
    <s v="A109"/>
    <s v="P02"/>
    <n v="2500"/>
    <x v="0"/>
    <s v="Retailer"/>
    <s v="West"/>
    <s v="2026-09"/>
    <s v="Missing"/>
    <s v="Missing"/>
    <x v="0"/>
    <x v="3"/>
    <s v="2026-09"/>
  </r>
  <r>
    <s v="T0078"/>
    <d v="2026-09-09T00:00:00"/>
    <s v="A137"/>
    <s v="P03"/>
    <n v="2500"/>
    <x v="0"/>
    <s v="Retailer"/>
    <s v="South"/>
    <s v="2026-09"/>
    <s v="Missing"/>
    <s v="Missing"/>
    <x v="0"/>
    <x v="2"/>
    <s v="2026-09"/>
  </r>
  <r>
    <s v="T0079"/>
    <d v="2026-08-19T00:00:00"/>
    <s v="A114"/>
    <s v="P04"/>
    <n v="20000"/>
    <x v="1"/>
    <s v="Retailer"/>
    <s v="South"/>
    <s v="2026-08"/>
    <s v="Missing"/>
    <s v="Missing"/>
    <x v="1"/>
    <x v="5"/>
    <s v="2026-08"/>
  </r>
  <r>
    <s v="T0080"/>
    <d v="2026-08-30T00:00:00"/>
    <s v="A129"/>
    <s v="P04"/>
    <n v="12500"/>
    <x v="0"/>
    <s v="Retailer"/>
    <s v="East"/>
    <s v="2026-08"/>
    <s v="Missing"/>
    <s v="Missing"/>
    <x v="1"/>
    <x v="5"/>
    <s v="2026-08"/>
  </r>
  <r>
    <s v="T0081"/>
    <d v="2026-09-20T00:00:00"/>
    <s v="A111"/>
    <s v="P06"/>
    <n v="500"/>
    <x v="0"/>
    <s v="Retailer"/>
    <s v="South"/>
    <s v="2026-09"/>
    <s v="Missing"/>
    <s v="Missing"/>
    <x v="0"/>
    <x v="1"/>
    <s v="2026-09"/>
  </r>
  <r>
    <s v="T0082"/>
    <d v="2026-08-06T00:00:00"/>
    <s v="A116"/>
    <s v="P06"/>
    <n v="1500"/>
    <x v="0"/>
    <s v="Retailer"/>
    <s v="West"/>
    <s v="2026-08"/>
    <s v="Missing"/>
    <s v="Missing"/>
    <x v="1"/>
    <x v="1"/>
    <s v="2026-08"/>
  </r>
  <r>
    <s v="T0083"/>
    <d v="2026-08-02T00:00:00"/>
    <s v="A103"/>
    <s v="P02"/>
    <n v="5000"/>
    <x v="1"/>
    <s v="Retailer"/>
    <s v="East"/>
    <s v="2026-08"/>
    <s v="Missing"/>
    <s v="Missing"/>
    <x v="1"/>
    <x v="3"/>
    <s v="2026-08"/>
  </r>
  <r>
    <s v="T0084"/>
    <d v="2026-08-27T00:00:00"/>
    <s v="A999"/>
    <s v="P05"/>
    <n v="1000"/>
    <x v="0"/>
    <s v="Distributor"/>
    <s v="East"/>
    <s v="2026-08"/>
    <s v="Missing"/>
    <s v="Missing"/>
    <x v="1"/>
    <x v="4"/>
    <s v="2026-08"/>
  </r>
  <r>
    <s v="T0085"/>
    <d v="2026-08-16T00:00:00"/>
    <s v="A110"/>
    <s v="P06"/>
    <n v="15000"/>
    <x v="0"/>
    <s v="Retailer"/>
    <s v="East"/>
    <s v="2026-08"/>
    <s v="Missing"/>
    <s v="Missing"/>
    <x v="1"/>
    <x v="1"/>
    <s v="2026-08"/>
  </r>
  <r>
    <s v="T0086"/>
    <d v="2026-08-15T00:00:00"/>
    <s v="A112"/>
    <s v="P06"/>
    <n v="7500"/>
    <x v="0"/>
    <s v="Retailer"/>
    <s v="West"/>
    <s v="2026-08"/>
    <s v="Missing"/>
    <s v="Missing"/>
    <x v="1"/>
    <x v="1"/>
    <s v="2026-08"/>
  </r>
  <r>
    <s v="T0087"/>
    <d v="2026-09-28T00:00:00"/>
    <s v="A108"/>
    <s v="P04"/>
    <n v="750"/>
    <x v="0"/>
    <s v="Retailer"/>
    <s v="South"/>
    <s v="2026-09"/>
    <s v="Missing"/>
    <s v="Missing"/>
    <x v="0"/>
    <x v="5"/>
    <s v="2026-09"/>
  </r>
  <r>
    <s v="T0088"/>
    <d v="2026-09-18T00:00:00"/>
    <s v="A129"/>
    <s v="P05"/>
    <n v="15000"/>
    <x v="0"/>
    <s v="Distributor"/>
    <s v="East"/>
    <s v="2026-09"/>
    <s v="Missing"/>
    <s v="Missing"/>
    <x v="0"/>
    <x v="4"/>
    <s v="2026-09"/>
  </r>
  <r>
    <s v="T0089"/>
    <d v="2026-09-27T00:00:00"/>
    <s v="A111"/>
    <s v="P06"/>
    <n v="5000"/>
    <x v="0"/>
    <s v="Distributor"/>
    <s v="West"/>
    <s v="2026-09"/>
    <s v="Missing"/>
    <s v="Missing"/>
    <x v="0"/>
    <x v="1"/>
    <s v="2026-09"/>
  </r>
  <r>
    <s v="T0090"/>
    <d v="2026-09-23T00:00:00"/>
    <s v="A999"/>
    <s v="P03"/>
    <n v="20000"/>
    <x v="0"/>
    <s v="Distributor"/>
    <s v="West"/>
    <s v="2026-09"/>
    <s v="Missing"/>
    <s v="Missing"/>
    <x v="0"/>
    <x v="2"/>
    <s v="2026-09"/>
  </r>
  <r>
    <s v="T0091"/>
    <d v="2026-08-18T00:00:00"/>
    <s v="A129"/>
    <s v="P01"/>
    <n v="15000"/>
    <x v="0"/>
    <s v="Retailer"/>
    <s v="South"/>
    <s v="2026-08"/>
    <s v="Missing"/>
    <s v="Missing"/>
    <x v="1"/>
    <x v="0"/>
    <s v="2026-08"/>
  </r>
  <r>
    <s v="T0092"/>
    <d v="2026-08-22T00:00:00"/>
    <s v="A121"/>
    <s v="P05"/>
    <n v="500"/>
    <x v="0"/>
    <s v="Retailer"/>
    <s v="West"/>
    <s v="2026-08"/>
    <s v="Missing"/>
    <s v="Missing"/>
    <x v="1"/>
    <x v="4"/>
    <s v="2026-08"/>
  </r>
  <r>
    <s v="T0093"/>
    <d v="2026-08-25T00:00:00"/>
    <s v="A110"/>
    <s v="P06"/>
    <n v="1000"/>
    <x v="0"/>
    <s v="Distributor"/>
    <s v="East"/>
    <s v="2026-08"/>
    <s v="Missing"/>
    <s v="Missing"/>
    <x v="1"/>
    <x v="1"/>
    <s v="2026-08"/>
  </r>
  <r>
    <s v="T0094"/>
    <d v="2026-08-22T00:00:00"/>
    <s v="A135"/>
    <s v="P04"/>
    <n v="2500"/>
    <x v="0"/>
    <s v="Retailer"/>
    <s v="East"/>
    <s v="2026-08"/>
    <s v="Missing"/>
    <s v="Missing"/>
    <x v="1"/>
    <x v="5"/>
    <s v="2026-08"/>
  </r>
  <r>
    <s v="T0095"/>
    <d v="2026-08-25T00:00:00"/>
    <s v="A138"/>
    <s v="P06"/>
    <n v="250"/>
    <x v="1"/>
    <s v="Distributor"/>
    <s v="East"/>
    <s v="2026-08"/>
    <s v="Missing"/>
    <s v="Missing"/>
    <x v="1"/>
    <x v="1"/>
    <s v="2026-08"/>
  </r>
  <r>
    <s v="T0096"/>
    <d v="2026-08-01T00:00:00"/>
    <s v="A123"/>
    <s v="P03"/>
    <n v="20000"/>
    <x v="0"/>
    <s v="Distributor"/>
    <s v="West"/>
    <s v="2026-08"/>
    <s v="Missing"/>
    <s v="Missing"/>
    <x v="1"/>
    <x v="2"/>
    <s v="2026-08"/>
  </r>
  <r>
    <s v="T0097"/>
    <d v="2026-09-01T00:00:00"/>
    <s v="A115"/>
    <s v="P03"/>
    <n v="2500"/>
    <x v="0"/>
    <s v="Retailer"/>
    <s v="East"/>
    <s v="2026-09"/>
    <s v="Missing"/>
    <s v="Missing"/>
    <x v="0"/>
    <x v="2"/>
    <s v="2026-09"/>
  </r>
  <r>
    <s v="T0098"/>
    <d v="2026-08-22T00:00:00"/>
    <s v="A126"/>
    <s v="P06"/>
    <n v="750"/>
    <x v="0"/>
    <s v="Retailer"/>
    <s v="North"/>
    <s v="2026-08"/>
    <s v="Missing"/>
    <s v="Missing"/>
    <x v="1"/>
    <x v="1"/>
    <s v="2026-08"/>
  </r>
  <r>
    <s v="T0099"/>
    <d v="2026-09-28T00:00:00"/>
    <s v="A126"/>
    <s v="P05"/>
    <n v="10000"/>
    <x v="0"/>
    <s v="Retailer"/>
    <s v="East"/>
    <s v="2026-09"/>
    <s v="Missing"/>
    <s v="Missing"/>
    <x v="0"/>
    <x v="4"/>
    <s v="2026-09"/>
  </r>
  <r>
    <s v="T0100"/>
    <d v="2026-08-09T00:00:00"/>
    <s v="A130"/>
    <s v="P02"/>
    <n v="250"/>
    <x v="0"/>
    <s v="Distributor"/>
    <s v="South"/>
    <s v="2026-08"/>
    <s v="Missing"/>
    <s v="Missing"/>
    <x v="1"/>
    <x v="3"/>
    <s v="2026-08"/>
  </r>
  <r>
    <s v="T0101"/>
    <d v="2026-08-14T00:00:00"/>
    <s v="A130"/>
    <s v="P03"/>
    <n v="2000"/>
    <x v="0"/>
    <s v="Distributor"/>
    <s v="East"/>
    <s v="2026-08"/>
    <s v="Missing"/>
    <s v="Missing"/>
    <x v="1"/>
    <x v="2"/>
    <s v="2026-08"/>
  </r>
  <r>
    <s v="T0102"/>
    <d v="2026-08-17T00:00:00"/>
    <s v="A106"/>
    <s v="P04"/>
    <n v="250"/>
    <x v="0"/>
    <s v="Retailer"/>
    <s v="South"/>
    <s v="2026-08"/>
    <s v="Missing"/>
    <s v="Missing"/>
    <x v="1"/>
    <x v="5"/>
    <s v="2026-08"/>
  </r>
  <r>
    <s v="T0103"/>
    <d v="2026-08-15T00:00:00"/>
    <m/>
    <s v="P01"/>
    <n v="20000"/>
    <x v="0"/>
    <s v="Retailer"/>
    <s v="West"/>
    <s v="2026-08"/>
    <s v="Missing"/>
    <s v="Missing"/>
    <x v="1"/>
    <x v="0"/>
    <s v="2026-08"/>
  </r>
  <r>
    <s v="T0104"/>
    <d v="2026-08-13T00:00:00"/>
    <s v="A102"/>
    <s v="P05"/>
    <n v="750"/>
    <x v="0"/>
    <s v="Retailer"/>
    <s v="East"/>
    <s v="2026-08"/>
    <s v="Missing"/>
    <s v="Missing"/>
    <x v="1"/>
    <x v="4"/>
    <s v="2026-08"/>
  </r>
  <r>
    <s v="T0105"/>
    <d v="2026-09-12T00:00:00"/>
    <s v="A108"/>
    <s v="P05"/>
    <n v="1000"/>
    <x v="0"/>
    <s v="Retailer"/>
    <s v="South"/>
    <s v="2026-09"/>
    <s v="Missing"/>
    <s v="Missing"/>
    <x v="0"/>
    <x v="4"/>
    <s v="2026-09"/>
  </r>
  <r>
    <s v="T0106"/>
    <d v="2026-09-19T00:00:00"/>
    <s v="A124"/>
    <s v="P02"/>
    <n v="10000"/>
    <x v="1"/>
    <s v="Retailer"/>
    <s v="North"/>
    <s v="2026-09"/>
    <s v="Missing"/>
    <s v="Missing"/>
    <x v="0"/>
    <x v="3"/>
    <s v="2026-09"/>
  </r>
  <r>
    <s v="T0107"/>
    <d v="2026-09-19T00:00:00"/>
    <s v="A111"/>
    <s v="P03"/>
    <n v="500"/>
    <x v="1"/>
    <s v="Retailer"/>
    <s v="South"/>
    <s v="2026-09"/>
    <s v="Missing"/>
    <s v="Missing"/>
    <x v="0"/>
    <x v="2"/>
    <s v="2026-09"/>
  </r>
  <r>
    <s v="T0108"/>
    <d v="2026-09-06T00:00:00"/>
    <s v="A125"/>
    <s v="P04"/>
    <n v="15000"/>
    <x v="0"/>
    <s v="Retailer"/>
    <s v="West"/>
    <s v="2026-09"/>
    <s v="Missing"/>
    <s v="Missing"/>
    <x v="0"/>
    <x v="5"/>
    <s v="2026-09"/>
  </r>
  <r>
    <s v="T0109"/>
    <d v="2026-08-07T00:00:00"/>
    <s v="A120"/>
    <s v="P06"/>
    <n v="10000"/>
    <x v="0"/>
    <s v="Retailer"/>
    <s v="North"/>
    <s v="2026-08"/>
    <s v="Missing"/>
    <s v="Missing"/>
    <x v="1"/>
    <x v="1"/>
    <s v="2026-08"/>
  </r>
  <r>
    <s v="T0110"/>
    <d v="2026-08-23T00:00:00"/>
    <s v="A135"/>
    <s v="P04"/>
    <n v="12500"/>
    <x v="0"/>
    <s v="Retailer"/>
    <s v="South"/>
    <s v="2026-08"/>
    <s v="Missing"/>
    <s v="Missing"/>
    <x v="1"/>
    <x v="5"/>
    <s v="2026-08"/>
  </r>
  <r>
    <s v="T0111"/>
    <d v="2026-08-01T00:00:00"/>
    <s v="A127"/>
    <s v="P04"/>
    <n v="500"/>
    <x v="0"/>
    <s v="Distributor"/>
    <s v="East"/>
    <s v="2026-08"/>
    <s v="Missing"/>
    <s v="Missing"/>
    <x v="1"/>
    <x v="5"/>
    <s v="2026-08"/>
  </r>
  <r>
    <s v="T0112"/>
    <d v="2026-09-15T00:00:00"/>
    <s v="A110"/>
    <s v="P04"/>
    <n v="750"/>
    <x v="0"/>
    <s v="Retailer"/>
    <s v="South"/>
    <s v="2026-09"/>
    <s v="Missing"/>
    <s v="Missing"/>
    <x v="0"/>
    <x v="5"/>
    <s v="2026-09"/>
  </r>
  <r>
    <s v="T0113"/>
    <d v="2026-09-09T00:00:00"/>
    <s v="A135"/>
    <s v="P04"/>
    <n v="5000"/>
    <x v="0"/>
    <s v="Retailer"/>
    <s v="South"/>
    <s v="2026-09"/>
    <s v="Missing"/>
    <s v="Missing"/>
    <x v="0"/>
    <x v="5"/>
    <s v="2026-09"/>
  </r>
  <r>
    <s v="T0114"/>
    <d v="2026-08-21T00:00:00"/>
    <s v="A116"/>
    <s v="P01"/>
    <n v="1500"/>
    <x v="0"/>
    <s v="Retailer"/>
    <s v="East"/>
    <s v="2026-08"/>
    <s v="Missing"/>
    <s v="Missing"/>
    <x v="1"/>
    <x v="0"/>
    <s v="2026-08"/>
  </r>
  <r>
    <s v="T0115"/>
    <d v="2026-09-06T00:00:00"/>
    <s v="A140"/>
    <s v="P06"/>
    <n v="2500"/>
    <x v="0"/>
    <s v="Retailer"/>
    <s v="East"/>
    <s v="2026-09"/>
    <s v="Missing"/>
    <s v="Missing"/>
    <x v="0"/>
    <x v="1"/>
    <s v="2026-09"/>
  </r>
  <r>
    <s v="T0116"/>
    <d v="2026-09-24T00:00:00"/>
    <s v="A121"/>
    <s v="P02"/>
    <n v="5000"/>
    <x v="0"/>
    <s v="Distributor"/>
    <s v="South"/>
    <s v="2026-09"/>
    <s v="Missing"/>
    <s v="Missing"/>
    <x v="0"/>
    <x v="3"/>
    <s v="2026-09"/>
  </r>
  <r>
    <s v="T0117"/>
    <d v="2026-08-22T00:00:00"/>
    <s v="A118"/>
    <s v="P05"/>
    <n v="15000"/>
    <x v="0"/>
    <s v="Retailer"/>
    <s v="North"/>
    <s v="2026-08"/>
    <s v="Missing"/>
    <s v="Missing"/>
    <x v="1"/>
    <x v="4"/>
    <s v="2026-08"/>
  </r>
  <r>
    <s v="T0118"/>
    <d v="2026-09-03T00:00:00"/>
    <s v="A113"/>
    <s v="P01"/>
    <n v="1000"/>
    <x v="0"/>
    <s v="Distributor"/>
    <s v="West"/>
    <s v="2026-09"/>
    <s v="Missing"/>
    <s v="Missing"/>
    <x v="0"/>
    <x v="0"/>
    <s v="2026-09"/>
  </r>
  <r>
    <s v="T0119"/>
    <d v="2026-09-14T00:00:00"/>
    <s v="A131"/>
    <s v="P06"/>
    <n v="15000"/>
    <x v="0"/>
    <s v="Distributor"/>
    <s v="North"/>
    <s v="2026-09"/>
    <s v="Missing"/>
    <s v="Missing"/>
    <x v="0"/>
    <x v="1"/>
    <s v="2026-09"/>
  </r>
  <r>
    <s v="T0120"/>
    <d v="2026-08-06T00:00:00"/>
    <s v="A119"/>
    <s v="P02"/>
    <n v="2500"/>
    <x v="0"/>
    <s v="Distributor"/>
    <s v="South"/>
    <s v="2026-08"/>
    <s v="Missing"/>
    <s v="Missing"/>
    <x v="1"/>
    <x v="3"/>
    <s v="2026-08"/>
  </r>
  <r>
    <s v="T0121"/>
    <d v="2026-08-31T00:00:00"/>
    <s v="A136"/>
    <s v="P05"/>
    <n v="2000"/>
    <x v="0"/>
    <s v="Retailer"/>
    <s v="South"/>
    <s v="2026-08"/>
    <s v="Missing"/>
    <s v="Missing"/>
    <x v="1"/>
    <x v="4"/>
    <s v="2026-08"/>
  </r>
  <r>
    <s v="T0122"/>
    <d v="2026-08-23T00:00:00"/>
    <s v="A130"/>
    <s v="P03"/>
    <n v="1500"/>
    <x v="0"/>
    <s v="Retailer"/>
    <s v="North"/>
    <s v="2026-08"/>
    <s v="Missing"/>
    <s v="Missing"/>
    <x v="1"/>
    <x v="2"/>
    <s v="2026-08"/>
  </r>
  <r>
    <s v="T0123"/>
    <d v="2026-09-16T00:00:00"/>
    <s v="A113"/>
    <s v="P03"/>
    <n v="500"/>
    <x v="0"/>
    <s v="Retailer"/>
    <s v="West"/>
    <s v="2026-09"/>
    <s v="Missing"/>
    <s v="Missing"/>
    <x v="0"/>
    <x v="2"/>
    <s v="2026-09"/>
  </r>
  <r>
    <s v="T0124"/>
    <d v="2026-08-13T00:00:00"/>
    <s v="A114"/>
    <s v="P06"/>
    <n v="5000"/>
    <x v="0"/>
    <s v="Retailer"/>
    <s v="South"/>
    <s v="2026-08"/>
    <s v="Missing"/>
    <s v="Missing"/>
    <x v="1"/>
    <x v="1"/>
    <s v="2026-08"/>
  </r>
  <r>
    <s v="T0125"/>
    <d v="2026-08-07T00:00:00"/>
    <s v="A113"/>
    <s v="P03"/>
    <n v="1000"/>
    <x v="0"/>
    <s v="Retailer"/>
    <s v="South"/>
    <s v="2026-08"/>
    <s v="Missing"/>
    <s v="Missing"/>
    <x v="1"/>
    <x v="2"/>
    <s v="2026-08"/>
  </r>
  <r>
    <s v="T0126"/>
    <d v="2026-08-01T00:00:00"/>
    <s v="A135"/>
    <s v="P02"/>
    <n v="1500"/>
    <x v="0"/>
    <s v="Retailer"/>
    <s v="South"/>
    <s v="2026-08"/>
    <s v="Missing"/>
    <s v="Missing"/>
    <x v="1"/>
    <x v="3"/>
    <s v="2026-08"/>
  </r>
  <r>
    <s v="T0127"/>
    <d v="2026-09-14T00:00:00"/>
    <s v="A109"/>
    <s v="P06"/>
    <n v="20000"/>
    <x v="0"/>
    <s v="Retailer"/>
    <s v="North"/>
    <s v="2026-09"/>
    <s v="Missing"/>
    <s v="Missing"/>
    <x v="0"/>
    <x v="1"/>
    <s v="2026-09"/>
  </r>
  <r>
    <s v="T0128"/>
    <d v="2026-09-06T00:00:00"/>
    <s v="A119"/>
    <s v="P04"/>
    <n v="5000"/>
    <x v="0"/>
    <s v="Distributor"/>
    <s v="West"/>
    <s v="2026-09"/>
    <s v="Missing"/>
    <s v="Missing"/>
    <x v="0"/>
    <x v="5"/>
    <s v="2026-09"/>
  </r>
  <r>
    <s v="T0129"/>
    <d v="2026-08-04T00:00:00"/>
    <s v="A117"/>
    <s v="P04"/>
    <n v="500"/>
    <x v="0"/>
    <s v="Distributor"/>
    <s v="East"/>
    <s v="2026-08"/>
    <s v="Missing"/>
    <s v="Missing"/>
    <x v="1"/>
    <x v="5"/>
    <s v="2026-08"/>
  </r>
  <r>
    <s v="T0130"/>
    <d v="2026-08-05T00:00:00"/>
    <s v="A137"/>
    <s v="P06"/>
    <n v="12500"/>
    <x v="0"/>
    <s v="Retailer"/>
    <s v="West"/>
    <s v="2026-08"/>
    <s v="Missing"/>
    <s v="Missing"/>
    <x v="1"/>
    <x v="1"/>
    <s v="2026-08"/>
  </r>
  <r>
    <s v="T0131"/>
    <d v="2026-09-21T00:00:00"/>
    <s v="A137"/>
    <s v="P03"/>
    <n v="500"/>
    <x v="0"/>
    <s v="Retailer"/>
    <s v="East"/>
    <s v="2026-09"/>
    <s v="Missing"/>
    <s v="Missing"/>
    <x v="0"/>
    <x v="2"/>
    <s v="2026-09"/>
  </r>
  <r>
    <s v="T0132"/>
    <d v="2026-09-08T00:00:00"/>
    <s v="A139"/>
    <s v="P05"/>
    <n v="1000"/>
    <x v="0"/>
    <s v="Distributor"/>
    <s v="East"/>
    <s v="2026-09"/>
    <s v="Missing"/>
    <s v="Missing"/>
    <x v="0"/>
    <x v="4"/>
    <s v="2026-09"/>
  </r>
  <r>
    <s v="T0133"/>
    <d v="2026-09-28T00:00:00"/>
    <s v="A129"/>
    <s v="P03"/>
    <n v="10000"/>
    <x v="0"/>
    <s v="Distributor"/>
    <s v="North"/>
    <s v="2026-09"/>
    <s v="Missing"/>
    <s v="Missing"/>
    <x v="0"/>
    <x v="2"/>
    <s v="2026-09"/>
  </r>
  <r>
    <s v="T0134"/>
    <d v="2026-09-09T00:00:00"/>
    <s v="A107"/>
    <s v="P02"/>
    <n v="12500"/>
    <x v="0"/>
    <s v="Distributor"/>
    <s v="North"/>
    <s v="2026-09"/>
    <s v="Missing"/>
    <s v="Missing"/>
    <x v="0"/>
    <x v="3"/>
    <s v="2026-09"/>
  </r>
  <r>
    <s v="T0135"/>
    <d v="2026-08-11T00:00:00"/>
    <s v="A116"/>
    <s v="P02"/>
    <n v="7500"/>
    <x v="0"/>
    <s v="Retailer"/>
    <s v="North"/>
    <s v="2026-08"/>
    <s v="Missing"/>
    <s v="Missing"/>
    <x v="1"/>
    <x v="3"/>
    <s v="2026-08"/>
  </r>
  <r>
    <s v="T0136"/>
    <d v="2026-08-27T00:00:00"/>
    <s v="A129"/>
    <s v="P06"/>
    <n v="10000"/>
    <x v="0"/>
    <s v="Distributor"/>
    <s v="North"/>
    <s v="2026-08"/>
    <s v="Missing"/>
    <s v="Missing"/>
    <x v="1"/>
    <x v="1"/>
    <s v="2026-08"/>
  </r>
  <r>
    <s v="T0137"/>
    <d v="2026-08-15T00:00:00"/>
    <s v="A119"/>
    <s v="P06"/>
    <n v="1500"/>
    <x v="0"/>
    <s v="Retailer"/>
    <s v="West"/>
    <s v="2026-08"/>
    <s v="Missing"/>
    <s v="Missing"/>
    <x v="1"/>
    <x v="1"/>
    <s v="2026-08"/>
  </r>
  <r>
    <s v="T0138"/>
    <d v="2026-09-29T00:00:00"/>
    <s v="A117"/>
    <s v="P06"/>
    <n v="10000"/>
    <x v="0"/>
    <s v="Distributor"/>
    <s v="North"/>
    <s v="2026-09"/>
    <s v="Missing"/>
    <s v="Missing"/>
    <x v="0"/>
    <x v="1"/>
    <s v="2026-09"/>
  </r>
  <r>
    <s v="T0139"/>
    <d v="2026-09-04T00:00:00"/>
    <s v="A115"/>
    <s v="P06"/>
    <n v="750"/>
    <x v="0"/>
    <s v="Retailer"/>
    <s v="North"/>
    <s v="2026-09"/>
    <s v="Missing"/>
    <s v="Missing"/>
    <x v="0"/>
    <x v="1"/>
    <s v="2026-09"/>
  </r>
  <r>
    <s v="T0140"/>
    <d v="2026-08-04T00:00:00"/>
    <s v="A111"/>
    <s v="P03"/>
    <n v="10000"/>
    <x v="1"/>
    <s v="Distributor"/>
    <s v="East"/>
    <s v="2026-08"/>
    <s v="Missing"/>
    <s v="Missing"/>
    <x v="1"/>
    <x v="2"/>
    <s v="2026-08"/>
  </r>
  <r>
    <s v="T0141"/>
    <d v="2026-08-08T00:00:00"/>
    <s v="A130"/>
    <s v="P06"/>
    <n v="1500"/>
    <x v="0"/>
    <s v="Distributor"/>
    <s v="East"/>
    <s v="2026-08"/>
    <s v="Missing"/>
    <s v="Missing"/>
    <x v="1"/>
    <x v="1"/>
    <s v="2026-08"/>
  </r>
  <r>
    <s v="T0142"/>
    <d v="2026-08-29T00:00:00"/>
    <s v="A106"/>
    <s v="P05"/>
    <n v="250"/>
    <x v="0"/>
    <s v="Retailer"/>
    <s v="South"/>
    <s v="2026-08"/>
    <s v="Missing"/>
    <s v="Missing"/>
    <x v="1"/>
    <x v="4"/>
    <s v="2026-08"/>
  </r>
  <r>
    <s v="T0143"/>
    <d v="2026-09-08T00:00:00"/>
    <s v="A117"/>
    <s v="P01"/>
    <n v="500"/>
    <x v="0"/>
    <s v="Retailer"/>
    <s v="North"/>
    <s v="2026-09"/>
    <s v="Missing"/>
    <s v="Missing"/>
    <x v="0"/>
    <x v="0"/>
    <s v="2026-09"/>
  </r>
  <r>
    <s v="T0144"/>
    <d v="2026-09-18T00:00:00"/>
    <s v="A118"/>
    <s v="P05"/>
    <n v="250"/>
    <x v="0"/>
    <s v="Distributor"/>
    <s v="East"/>
    <s v="2026-09"/>
    <s v="Missing"/>
    <s v="Missing"/>
    <x v="0"/>
    <x v="4"/>
    <s v="2026-09"/>
  </r>
  <r>
    <s v="T0145"/>
    <d v="2026-09-28T00:00:00"/>
    <s v="A118"/>
    <s v="P02"/>
    <n v="10000"/>
    <x v="0"/>
    <s v="Retailer"/>
    <s v="East"/>
    <s v="2026-09"/>
    <s v="Missing"/>
    <s v="Missing"/>
    <x v="0"/>
    <x v="3"/>
    <s v="2026-09"/>
  </r>
  <r>
    <s v="T0146"/>
    <d v="2026-08-06T00:00:00"/>
    <s v="A131"/>
    <s v="P03"/>
    <n v="2500"/>
    <x v="0"/>
    <s v="Distributor"/>
    <s v="North"/>
    <s v="2026-08"/>
    <s v="Missing"/>
    <s v="Missing"/>
    <x v="1"/>
    <x v="2"/>
    <s v="2026-08"/>
  </r>
  <r>
    <s v="T0147"/>
    <d v="2026-09-24T00:00:00"/>
    <s v="A111"/>
    <s v="P03"/>
    <n v="2500"/>
    <x v="0"/>
    <s v="Distributor"/>
    <s v="East"/>
    <s v="2026-09"/>
    <s v="Missing"/>
    <s v="Missing"/>
    <x v="0"/>
    <x v="2"/>
    <s v="2026-09"/>
  </r>
  <r>
    <s v="T0148"/>
    <d v="2026-09-22T00:00:00"/>
    <s v="A136"/>
    <s v="P01"/>
    <n v="5000"/>
    <x v="0"/>
    <s v="Distributor"/>
    <s v="South"/>
    <s v="2026-09"/>
    <s v="Missing"/>
    <s v="Missing"/>
    <x v="0"/>
    <x v="0"/>
    <s v="2026-09"/>
  </r>
  <r>
    <s v="T0149"/>
    <d v="2026-08-21T00:00:00"/>
    <s v="A108"/>
    <s v="P04"/>
    <n v="7500"/>
    <x v="0"/>
    <s v="Retailer"/>
    <s v="East"/>
    <s v="2026-08"/>
    <s v="Missing"/>
    <s v="Missing"/>
    <x v="1"/>
    <x v="5"/>
    <s v="2026-08"/>
  </r>
  <r>
    <s v="T0150"/>
    <d v="2026-08-27T00:00:00"/>
    <s v="A104"/>
    <s v="P02"/>
    <n v="7500"/>
    <x v="0"/>
    <s v="Retailer"/>
    <s v="East"/>
    <s v="2026-08"/>
    <s v="Missing"/>
    <s v="Missing"/>
    <x v="1"/>
    <x v="3"/>
    <s v="2026-08"/>
  </r>
  <r>
    <s v="T0151"/>
    <d v="2026-09-10T00:00:00"/>
    <s v="A129"/>
    <s v="P01"/>
    <n v="1000"/>
    <x v="0"/>
    <s v="Retailer"/>
    <s v="West"/>
    <s v="2026-09"/>
    <s v="Missing"/>
    <s v="Missing"/>
    <x v="0"/>
    <x v="0"/>
    <s v="2026-09"/>
  </r>
  <r>
    <s v="T0152"/>
    <d v="2026-09-29T00:00:00"/>
    <s v="A119"/>
    <s v="P04"/>
    <n v="15000"/>
    <x v="0"/>
    <s v="Retailer"/>
    <s v="North"/>
    <s v="2026-09"/>
    <s v="Missing"/>
    <s v="Missing"/>
    <x v="0"/>
    <x v="5"/>
    <s v="2026-09"/>
  </r>
  <r>
    <s v="T0153"/>
    <d v="2026-09-10T00:00:00"/>
    <s v="A139"/>
    <s v="P02"/>
    <n v="15000"/>
    <x v="0"/>
    <s v="Distributor"/>
    <s v="North"/>
    <s v="2026-09"/>
    <s v="Missing"/>
    <s v="Missing"/>
    <x v="0"/>
    <x v="3"/>
    <s v="2026-09"/>
  </r>
  <r>
    <s v="T0154"/>
    <d v="2026-09-05T00:00:00"/>
    <s v="A127"/>
    <s v="P01"/>
    <n v="1000"/>
    <x v="0"/>
    <s v="Distributor"/>
    <s v="North"/>
    <s v="2026-09"/>
    <s v="Missing"/>
    <s v="Missing"/>
    <x v="0"/>
    <x v="0"/>
    <s v="2026-09"/>
  </r>
  <r>
    <s v="T0155"/>
    <d v="2026-09-11T00:00:00"/>
    <s v="A110"/>
    <s v="P04"/>
    <n v="15000"/>
    <x v="0"/>
    <s v="Retailer"/>
    <s v="South"/>
    <s v="2026-09"/>
    <s v="Missing"/>
    <s v="Missing"/>
    <x v="0"/>
    <x v="5"/>
    <s v="2026-09"/>
  </r>
  <r>
    <s v="T0156"/>
    <d v="2026-08-27T00:00:00"/>
    <s v="A131"/>
    <s v="P04"/>
    <n v="1000"/>
    <x v="0"/>
    <s v="Retailer"/>
    <s v="West"/>
    <s v="2026-08"/>
    <s v="Missing"/>
    <s v="Missing"/>
    <x v="1"/>
    <x v="5"/>
    <s v="2026-08"/>
  </r>
  <r>
    <s v="T0157"/>
    <d v="2026-08-25T00:00:00"/>
    <s v="A113"/>
    <s v="P05"/>
    <n v="7500"/>
    <x v="0"/>
    <s v="Retailer"/>
    <s v="South"/>
    <s v="2026-08"/>
    <s v="Missing"/>
    <s v="Missing"/>
    <x v="1"/>
    <x v="4"/>
    <s v="2026-08"/>
  </r>
  <r>
    <s v="T0158"/>
    <d v="2026-09-19T00:00:00"/>
    <s v="A127"/>
    <s v="P03"/>
    <n v="20000"/>
    <x v="0"/>
    <s v="Distributor"/>
    <s v="North"/>
    <s v="2026-09"/>
    <s v="Missing"/>
    <s v="Missing"/>
    <x v="0"/>
    <x v="2"/>
    <s v="2026-09"/>
  </r>
  <r>
    <s v="T0159"/>
    <d v="2026-08-19T00:00:00"/>
    <s v="A120"/>
    <s v="P05"/>
    <n v="10000"/>
    <x v="0"/>
    <s v="Retailer"/>
    <s v="East"/>
    <s v="2026-08"/>
    <s v="Missing"/>
    <s v="Missing"/>
    <x v="1"/>
    <x v="4"/>
    <s v="2026-08"/>
  </r>
  <r>
    <s v="T0160"/>
    <d v="2026-09-04T00:00:00"/>
    <s v="A131"/>
    <s v="P03"/>
    <n v="2000"/>
    <x v="0"/>
    <s v="Retailer"/>
    <s v="East"/>
    <s v="2026-09"/>
    <s v="Missing"/>
    <s v="Missing"/>
    <x v="0"/>
    <x v="2"/>
    <s v="2026-09"/>
  </r>
  <r>
    <s v="T0161"/>
    <d v="2026-08-30T00:00:00"/>
    <s v="A121"/>
    <s v="P02"/>
    <n v="15000"/>
    <x v="0"/>
    <s v="Retailer"/>
    <s v="East"/>
    <s v="2026-08"/>
    <s v="Missing"/>
    <s v="Missing"/>
    <x v="1"/>
    <x v="3"/>
    <s v="2026-08"/>
  </r>
  <r>
    <s v="T0162"/>
    <d v="2026-08-15T00:00:00"/>
    <s v="A127"/>
    <s v="P01"/>
    <n v="2000"/>
    <x v="0"/>
    <s v="Retailer"/>
    <s v="East"/>
    <s v="2026-08"/>
    <s v="Missing"/>
    <s v="Missing"/>
    <x v="1"/>
    <x v="0"/>
    <s v="2026-08"/>
  </r>
  <r>
    <s v="T0163"/>
    <d v="2026-08-25T00:00:00"/>
    <m/>
    <s v="P02"/>
    <n v="5000"/>
    <x v="0"/>
    <s v="Retailer"/>
    <s v="South"/>
    <s v="2026-08"/>
    <s v="Missing"/>
    <s v="Missing"/>
    <x v="1"/>
    <x v="3"/>
    <s v="2026-08"/>
  </r>
  <r>
    <s v="T0164"/>
    <d v="2026-09-25T00:00:00"/>
    <s v="A107"/>
    <s v="P04"/>
    <n v="500"/>
    <x v="0"/>
    <s v="Distributor"/>
    <s v="North"/>
    <s v="2026-09"/>
    <s v="Missing"/>
    <s v="Missing"/>
    <x v="0"/>
    <x v="5"/>
    <s v="2026-09"/>
  </r>
  <r>
    <s v="T0165"/>
    <d v="2026-09-16T00:00:00"/>
    <s v="A110"/>
    <s v="P04"/>
    <n v="12500"/>
    <x v="0"/>
    <s v="Retailer"/>
    <s v="East"/>
    <s v="2026-09"/>
    <s v="Missing"/>
    <s v="Missing"/>
    <x v="0"/>
    <x v="5"/>
    <s v="2026-09"/>
  </r>
  <r>
    <s v="T0166"/>
    <d v="2026-09-20T00:00:00"/>
    <s v="A117"/>
    <s v="P03"/>
    <n v="10000"/>
    <x v="0"/>
    <s v="Retailer"/>
    <s v="North"/>
    <s v="2026-09"/>
    <s v="Missing"/>
    <s v="Missing"/>
    <x v="0"/>
    <x v="2"/>
    <s v="2026-09"/>
  </r>
  <r>
    <s v="T0167"/>
    <d v="2026-09-24T00:00:00"/>
    <s v="A122"/>
    <s v="P06"/>
    <n v="7500"/>
    <x v="0"/>
    <s v="Distributor"/>
    <s v="East"/>
    <s v="2026-09"/>
    <s v="Missing"/>
    <s v="Missing"/>
    <x v="0"/>
    <x v="1"/>
    <s v="2026-09"/>
  </r>
  <r>
    <s v="T0168"/>
    <d v="2026-09-25T00:00:00"/>
    <s v="A135"/>
    <s v="P01"/>
    <n v="10000"/>
    <x v="0"/>
    <s v="Retailer"/>
    <s v="South"/>
    <s v="2026-09"/>
    <s v="Missing"/>
    <s v="Missing"/>
    <x v="0"/>
    <x v="0"/>
    <s v="2026-09"/>
  </r>
  <r>
    <s v="T0169"/>
    <d v="2026-08-15T00:00:00"/>
    <s v="A106"/>
    <s v="P04"/>
    <n v="500"/>
    <x v="0"/>
    <s v="Distributor"/>
    <s v="West"/>
    <s v="2026-08"/>
    <s v="Missing"/>
    <s v="Missing"/>
    <x v="1"/>
    <x v="5"/>
    <s v="2026-08"/>
  </r>
  <r>
    <s v="T0170"/>
    <d v="2026-09-14T00:00:00"/>
    <s v="A120"/>
    <s v="P01"/>
    <n v="250"/>
    <x v="0"/>
    <s v="Retailer"/>
    <s v="South"/>
    <s v="2026-09"/>
    <s v="Missing"/>
    <s v="Missing"/>
    <x v="0"/>
    <x v="0"/>
    <s v="2026-09"/>
  </r>
  <r>
    <s v="T0171"/>
    <d v="2026-08-23T00:00:00"/>
    <s v="A124"/>
    <s v="P04"/>
    <n v="750"/>
    <x v="0"/>
    <s v="Retailer"/>
    <s v="East"/>
    <s v="2026-08"/>
    <s v="Missing"/>
    <s v="Missing"/>
    <x v="1"/>
    <x v="5"/>
    <s v="2026-08"/>
  </r>
  <r>
    <s v="T0172"/>
    <d v="2026-09-06T00:00:00"/>
    <s v="A112"/>
    <s v="P02"/>
    <n v="750"/>
    <x v="0"/>
    <s v="Retailer"/>
    <s v="East"/>
    <s v="2026-09"/>
    <s v="Missing"/>
    <s v="Missing"/>
    <x v="0"/>
    <x v="3"/>
    <s v="2026-09"/>
  </r>
  <r>
    <s v="T0173"/>
    <d v="2026-09-09T00:00:00"/>
    <s v="A116"/>
    <s v="P04"/>
    <n v="10000"/>
    <x v="0"/>
    <s v="Retailer"/>
    <s v="East"/>
    <s v="2026-09"/>
    <s v="Missing"/>
    <s v="Missing"/>
    <x v="0"/>
    <x v="5"/>
    <s v="2026-09"/>
  </r>
  <r>
    <s v="T0174"/>
    <d v="2026-09-10T00:00:00"/>
    <s v="A117"/>
    <s v="P04"/>
    <n v="1500"/>
    <x v="0"/>
    <s v="Distributor"/>
    <s v="South"/>
    <s v="2026-09"/>
    <s v="Missing"/>
    <s v="Missing"/>
    <x v="0"/>
    <x v="5"/>
    <s v="2026-09"/>
  </r>
  <r>
    <s v="T0175"/>
    <d v="2026-09-13T00:00:00"/>
    <s v="A135"/>
    <s v="P02"/>
    <n v="500"/>
    <x v="0"/>
    <s v="Distributor"/>
    <s v="South"/>
    <s v="2026-09"/>
    <s v="Missing"/>
    <s v="Missing"/>
    <x v="0"/>
    <x v="3"/>
    <s v="2026-09"/>
  </r>
  <r>
    <s v="T0176"/>
    <d v="2026-09-10T00:00:00"/>
    <s v="A128"/>
    <s v="P06"/>
    <n v="1500"/>
    <x v="0"/>
    <s v="Distributor"/>
    <s v="West"/>
    <s v="2026-09"/>
    <s v="Missing"/>
    <s v="Missing"/>
    <x v="0"/>
    <x v="1"/>
    <s v="2026-09"/>
  </r>
  <r>
    <s v="T0177"/>
    <d v="2026-08-25T00:00:00"/>
    <s v="A131"/>
    <s v="P01"/>
    <n v="1000"/>
    <x v="0"/>
    <s v="Retailer"/>
    <s v="South"/>
    <s v="2026-08"/>
    <s v="Missing"/>
    <s v="Missing"/>
    <x v="1"/>
    <x v="0"/>
    <s v="2026-08"/>
  </r>
  <r>
    <s v="T0178"/>
    <d v="2026-09-06T00:00:00"/>
    <s v="A119"/>
    <s v="P06"/>
    <n v="1500"/>
    <x v="0"/>
    <s v="Retailer"/>
    <s v="East"/>
    <s v="2026-09"/>
    <s v="Missing"/>
    <s v="Missing"/>
    <x v="0"/>
    <x v="1"/>
    <s v="2026-09"/>
  </r>
  <r>
    <s v="T0179"/>
    <d v="2026-08-18T00:00:00"/>
    <s v="A101"/>
    <s v="P05"/>
    <n v="12500"/>
    <x v="0"/>
    <s v="Retailer"/>
    <s v="East"/>
    <s v="2026-08"/>
    <s v="Missing"/>
    <s v="Missing"/>
    <x v="1"/>
    <x v="4"/>
    <s v="2026-08"/>
  </r>
  <r>
    <s v="T0180"/>
    <d v="2026-09-23T00:00:00"/>
    <s v="A119"/>
    <s v="P02"/>
    <n v="10000"/>
    <x v="0"/>
    <s v="Retailer"/>
    <s v="West"/>
    <s v="2026-09"/>
    <s v="Missing"/>
    <s v="Missing"/>
    <x v="0"/>
    <x v="3"/>
    <s v="2026-09"/>
  </r>
  <r>
    <s v="T0181"/>
    <d v="2026-09-09T00:00:00"/>
    <s v="A117"/>
    <s v="P06"/>
    <n v="20000"/>
    <x v="0"/>
    <s v="Retailer"/>
    <s v="North"/>
    <s v="2026-09"/>
    <s v="Missing"/>
    <s v="Missing"/>
    <x v="0"/>
    <x v="1"/>
    <s v="2026-09"/>
  </r>
  <r>
    <s v="T0182"/>
    <d v="2026-09-27T00:00:00"/>
    <s v="A999"/>
    <s v="P06"/>
    <n v="250"/>
    <x v="0"/>
    <s v="Distributor"/>
    <s v="North"/>
    <s v="2026-09"/>
    <s v="Missing"/>
    <s v="Missing"/>
    <x v="0"/>
    <x v="1"/>
    <s v="2026-09"/>
  </r>
  <r>
    <s v="T0183"/>
    <d v="2026-09-07T00:00:00"/>
    <s v="A124"/>
    <s v="P06"/>
    <n v="750"/>
    <x v="0"/>
    <s v="Distributor"/>
    <s v="South"/>
    <s v="2026-09"/>
    <s v="Missing"/>
    <s v="Missing"/>
    <x v="0"/>
    <x v="1"/>
    <s v="2026-09"/>
  </r>
  <r>
    <s v="T0184"/>
    <d v="2026-09-17T00:00:00"/>
    <s v="A127"/>
    <s v="P02"/>
    <n v="1000"/>
    <x v="0"/>
    <s v="Retailer"/>
    <s v="South"/>
    <s v="2026-09"/>
    <s v="Missing"/>
    <s v="Missing"/>
    <x v="0"/>
    <x v="3"/>
    <s v="2026-09"/>
  </r>
  <r>
    <s v="T0185"/>
    <d v="2026-09-03T00:00:00"/>
    <s v="A133"/>
    <s v="P03"/>
    <n v="750"/>
    <x v="0"/>
    <s v="Distributor"/>
    <s v="South"/>
    <s v="2026-09"/>
    <s v="Missing"/>
    <s v="Missing"/>
    <x v="0"/>
    <x v="2"/>
    <s v="2026-09"/>
  </r>
  <r>
    <s v="T0186"/>
    <d v="2026-09-17T00:00:00"/>
    <s v="A122"/>
    <s v="P01"/>
    <n v="5000"/>
    <x v="0"/>
    <s v="Retailer"/>
    <s v="West"/>
    <s v="2026-09"/>
    <s v="Missing"/>
    <s v="Missing"/>
    <x v="0"/>
    <x v="0"/>
    <s v="2026-09"/>
  </r>
  <r>
    <s v="T0187"/>
    <d v="2026-09-25T00:00:00"/>
    <s v="A126"/>
    <s v="P05"/>
    <n v="2000"/>
    <x v="0"/>
    <s v="Distributor"/>
    <s v="North"/>
    <s v="2026-09"/>
    <s v="Missing"/>
    <s v="Missing"/>
    <x v="0"/>
    <x v="4"/>
    <s v="2026-09"/>
  </r>
  <r>
    <s v="T0188"/>
    <d v="2026-08-17T00:00:00"/>
    <s v="A135"/>
    <s v="P01"/>
    <n v="5000"/>
    <x v="0"/>
    <s v="Retailer"/>
    <s v="South"/>
    <s v="2026-08"/>
    <s v="Missing"/>
    <s v="Missing"/>
    <x v="1"/>
    <x v="0"/>
    <s v="2026-08"/>
  </r>
  <r>
    <s v="T0189"/>
    <d v="2026-09-07T00:00:00"/>
    <s v="A125"/>
    <s v="P06"/>
    <n v="2000"/>
    <x v="0"/>
    <s v="Retailer"/>
    <s v="West"/>
    <s v="2026-09"/>
    <s v="Missing"/>
    <s v="Missing"/>
    <x v="0"/>
    <x v="1"/>
    <s v="2026-09"/>
  </r>
  <r>
    <s v="T0190"/>
    <d v="2026-08-31T00:00:00"/>
    <s v="A102"/>
    <s v="P05"/>
    <n v="7500"/>
    <x v="0"/>
    <s v="Retailer"/>
    <s v="West"/>
    <s v="2026-08"/>
    <s v="Missing"/>
    <s v="Missing"/>
    <x v="1"/>
    <x v="4"/>
    <s v="2026-08"/>
  </r>
  <r>
    <s v="T0191"/>
    <d v="2026-09-11T00:00:00"/>
    <s v="A105"/>
    <s v="P06"/>
    <n v="5000"/>
    <x v="0"/>
    <s v="Retailer"/>
    <s v="East"/>
    <s v="2026-09"/>
    <s v="Missing"/>
    <s v="Missing"/>
    <x v="0"/>
    <x v="1"/>
    <s v="2026-09"/>
  </r>
  <r>
    <s v="T0192"/>
    <d v="2026-08-08T00:00:00"/>
    <s v="A109"/>
    <s v="P01"/>
    <n v="250"/>
    <x v="0"/>
    <s v="Distributor"/>
    <s v="North"/>
    <s v="2026-08"/>
    <s v="Missing"/>
    <s v="Missing"/>
    <x v="1"/>
    <x v="0"/>
    <s v="2026-08"/>
  </r>
  <r>
    <s v="T0193"/>
    <d v="2026-08-07T00:00:00"/>
    <s v="A116"/>
    <s v="P05"/>
    <n v="750"/>
    <x v="0"/>
    <s v="Distributor"/>
    <s v="South"/>
    <s v="2026-08"/>
    <s v="Missing"/>
    <s v="Missing"/>
    <x v="1"/>
    <x v="4"/>
    <s v="2026-08"/>
  </r>
  <r>
    <s v="T0194"/>
    <d v="2026-09-12T00:00:00"/>
    <s v="A135"/>
    <s v="P04"/>
    <n v="10000"/>
    <x v="0"/>
    <s v="Distributor"/>
    <s v="North"/>
    <s v="2026-09"/>
    <s v="Missing"/>
    <s v="Missing"/>
    <x v="0"/>
    <x v="5"/>
    <s v="2026-09"/>
  </r>
  <r>
    <s v="T0195"/>
    <d v="2026-09-23T00:00:00"/>
    <s v="A132"/>
    <s v="P05"/>
    <n v="2500"/>
    <x v="0"/>
    <s v="Retailer"/>
    <s v="South"/>
    <s v="2026-09"/>
    <s v="Missing"/>
    <s v="Missing"/>
    <x v="0"/>
    <x v="4"/>
    <s v="2026-09"/>
  </r>
  <r>
    <s v="T0196"/>
    <d v="2026-08-14T00:00:00"/>
    <s v="A129"/>
    <s v="P04"/>
    <n v="1000"/>
    <x v="0"/>
    <s v="Retailer"/>
    <s v="South"/>
    <s v="2026-08"/>
    <s v="Missing"/>
    <s v="Missing"/>
    <x v="1"/>
    <x v="5"/>
    <s v="2026-08"/>
  </r>
  <r>
    <s v="T0197"/>
    <d v="2026-09-04T00:00:00"/>
    <m/>
    <s v="P03"/>
    <n v="250"/>
    <x v="0"/>
    <s v="Distributor"/>
    <s v="West"/>
    <s v="2026-09"/>
    <s v="Missing"/>
    <s v="Missing"/>
    <x v="0"/>
    <x v="2"/>
    <s v="2026-09"/>
  </r>
  <r>
    <s v="T0198"/>
    <d v="2026-08-08T00:00:00"/>
    <s v="A130"/>
    <s v="P01"/>
    <n v="12500"/>
    <x v="0"/>
    <s v="Retailer"/>
    <s v="North"/>
    <s v="2026-08"/>
    <s v="Missing"/>
    <s v="Missing"/>
    <x v="1"/>
    <x v="0"/>
    <s v="2026-08"/>
  </r>
  <r>
    <s v="T0199"/>
    <d v="2026-08-04T00:00:00"/>
    <s v="A122"/>
    <s v="P02"/>
    <n v="750"/>
    <x v="1"/>
    <s v="Retailer"/>
    <s v="North"/>
    <s v="2026-08"/>
    <s v="Missing"/>
    <s v="Missing"/>
    <x v="1"/>
    <x v="3"/>
    <s v="2026-08"/>
  </r>
  <r>
    <s v="T0200"/>
    <d v="2026-09-23T00:00:00"/>
    <s v="A136"/>
    <s v="P02"/>
    <n v="10000"/>
    <x v="0"/>
    <s v="Retailer"/>
    <s v="South"/>
    <s v="2026-09"/>
    <s v="Missing"/>
    <s v="Missing"/>
    <x v="0"/>
    <x v="3"/>
    <s v="2026-09"/>
  </r>
  <r>
    <s v="T0201"/>
    <d v="2026-09-19T00:00:00"/>
    <s v="A110"/>
    <s v="P05"/>
    <n v="250"/>
    <x v="0"/>
    <s v="Retailer"/>
    <s v="West"/>
    <s v="2026-09"/>
    <s v="Missing"/>
    <s v="Missing"/>
    <x v="0"/>
    <x v="4"/>
    <s v="2026-09"/>
  </r>
  <r>
    <s v="T0202"/>
    <d v="2026-09-04T00:00:00"/>
    <s v="A117"/>
    <s v="P02"/>
    <n v="500"/>
    <x v="0"/>
    <s v="Retailer"/>
    <s v="North"/>
    <s v="2026-09"/>
    <s v="Missing"/>
    <s v="Missing"/>
    <x v="0"/>
    <x v="3"/>
    <s v="2026-09"/>
  </r>
  <r>
    <s v="T0203"/>
    <d v="2026-08-23T00:00:00"/>
    <s v="A116"/>
    <s v="P05"/>
    <n v="2000"/>
    <x v="0"/>
    <s v="Retailer"/>
    <s v="South"/>
    <s v="2026-08"/>
    <s v="Missing"/>
    <s v="Missing"/>
    <x v="1"/>
    <x v="4"/>
    <s v="2026-08"/>
  </r>
  <r>
    <s v="T0204"/>
    <d v="2026-08-04T00:00:00"/>
    <s v="A109"/>
    <s v="P06"/>
    <n v="2500"/>
    <x v="0"/>
    <s v="Retailer"/>
    <s v="North"/>
    <s v="2026-08"/>
    <s v="Missing"/>
    <s v="Missing"/>
    <x v="1"/>
    <x v="1"/>
    <s v="2026-08"/>
  </r>
  <r>
    <s v="T0205"/>
    <d v="2026-08-31T00:00:00"/>
    <s v="A129"/>
    <s v="P03"/>
    <n v="7500"/>
    <x v="1"/>
    <s v="Retailer"/>
    <s v="East"/>
    <s v="2026-08"/>
    <s v="Missing"/>
    <s v="Missing"/>
    <x v="1"/>
    <x v="2"/>
    <s v="2026-08"/>
  </r>
  <r>
    <s v="T0206"/>
    <d v="2026-09-02T00:00:00"/>
    <s v="A115"/>
    <s v="P05"/>
    <n v="250"/>
    <x v="0"/>
    <s v="Distributor"/>
    <s v="East"/>
    <s v="2026-09"/>
    <s v="Missing"/>
    <s v="Missing"/>
    <x v="0"/>
    <x v="4"/>
    <s v="2026-09"/>
  </r>
  <r>
    <s v="T0207"/>
    <d v="2026-09-11T00:00:00"/>
    <s v="A102"/>
    <s v="P01"/>
    <n v="5000"/>
    <x v="0"/>
    <s v="Distributor"/>
    <s v="North"/>
    <s v="2026-09"/>
    <s v="Missing"/>
    <s v="Missing"/>
    <x v="0"/>
    <x v="0"/>
    <s v="2026-09"/>
  </r>
  <r>
    <s v="T0208"/>
    <d v="2026-09-01T00:00:00"/>
    <s v="A129"/>
    <s v="P01"/>
    <n v="500"/>
    <x v="0"/>
    <s v="Retailer"/>
    <s v="West"/>
    <s v="2026-09"/>
    <s v="Missing"/>
    <s v="Missing"/>
    <x v="0"/>
    <x v="0"/>
    <s v="2026-09"/>
  </r>
  <r>
    <s v="T0209"/>
    <d v="2026-08-05T00:00:00"/>
    <s v="A109"/>
    <s v="P03"/>
    <n v="10000"/>
    <x v="1"/>
    <s v="Retailer"/>
    <s v="South"/>
    <s v="2026-08"/>
    <s v="Missing"/>
    <s v="Missing"/>
    <x v="1"/>
    <x v="2"/>
    <s v="2026-08"/>
  </r>
  <r>
    <s v="T0210"/>
    <d v="2026-08-25T00:00:00"/>
    <s v="A139"/>
    <s v="P05"/>
    <n v="1500"/>
    <x v="0"/>
    <s v="Retailer"/>
    <s v="East"/>
    <s v="2026-08"/>
    <s v="Missing"/>
    <s v="Missing"/>
    <x v="1"/>
    <x v="4"/>
    <s v="2026-08"/>
  </r>
  <r>
    <s v="T0211"/>
    <d v="2026-08-07T00:00:00"/>
    <s v="A108"/>
    <s v="P06"/>
    <n v="12500"/>
    <x v="0"/>
    <s v="Retailer"/>
    <s v="West"/>
    <s v="2026-08"/>
    <s v="Missing"/>
    <s v="Missing"/>
    <x v="1"/>
    <x v="1"/>
    <s v="2026-08"/>
  </r>
  <r>
    <s v="T0212"/>
    <d v="2026-08-28T00:00:00"/>
    <s v="A129"/>
    <s v="P02"/>
    <n v="2500"/>
    <x v="0"/>
    <s v="Distributor"/>
    <s v="East"/>
    <s v="2026-08"/>
    <s v="Missing"/>
    <s v="Missing"/>
    <x v="1"/>
    <x v="3"/>
    <s v="2026-08"/>
  </r>
  <r>
    <s v="T0213"/>
    <d v="2026-08-27T00:00:00"/>
    <s v="A107"/>
    <s v="P03"/>
    <n v="2500"/>
    <x v="0"/>
    <s v="Retailer"/>
    <s v="South"/>
    <s v="2026-08"/>
    <s v="Missing"/>
    <s v="Missing"/>
    <x v="1"/>
    <x v="2"/>
    <s v="2026-08"/>
  </r>
  <r>
    <s v="T0214"/>
    <d v="2026-08-24T00:00:00"/>
    <s v="A110"/>
    <s v="P06"/>
    <n v="5000"/>
    <x v="0"/>
    <s v="Retailer"/>
    <s v="North"/>
    <s v="2026-08"/>
    <s v="Missing"/>
    <s v="Missing"/>
    <x v="1"/>
    <x v="1"/>
    <s v="2026-08"/>
  </r>
  <r>
    <s v="T0215"/>
    <d v="2026-08-06T00:00:00"/>
    <s v="A128"/>
    <s v="P01"/>
    <n v="15000"/>
    <x v="0"/>
    <s v="Retailer"/>
    <s v="North"/>
    <s v="2026-08"/>
    <s v="Missing"/>
    <s v="Missing"/>
    <x v="1"/>
    <x v="0"/>
    <s v="2026-08"/>
  </r>
  <r>
    <s v="T0216"/>
    <d v="2026-09-07T00:00:00"/>
    <s v="A136"/>
    <s v="P05"/>
    <n v="2000"/>
    <x v="0"/>
    <s v="Distributor"/>
    <s v="South"/>
    <s v="2026-09"/>
    <s v="Missing"/>
    <s v="Missing"/>
    <x v="0"/>
    <x v="4"/>
    <s v="2026-09"/>
  </r>
  <r>
    <s v="T0217"/>
    <d v="2026-09-25T00:00:00"/>
    <s v="A128"/>
    <s v="P06"/>
    <n v="250"/>
    <x v="0"/>
    <s v="Retailer"/>
    <s v="South"/>
    <s v="2026-09"/>
    <s v="Missing"/>
    <s v="Missing"/>
    <x v="0"/>
    <x v="1"/>
    <s v="2026-09"/>
  </r>
  <r>
    <s v="T0218"/>
    <d v="2026-08-23T00:00:00"/>
    <s v="A107"/>
    <s v="P05"/>
    <n v="7500"/>
    <x v="0"/>
    <s v="Retailer"/>
    <s v="East"/>
    <s v="2026-08"/>
    <s v="Missing"/>
    <s v="Missing"/>
    <x v="1"/>
    <x v="4"/>
    <s v="2026-08"/>
  </r>
  <r>
    <s v="T0219"/>
    <d v="2026-08-15T00:00:00"/>
    <s v="A107"/>
    <s v="P03"/>
    <n v="7500"/>
    <x v="0"/>
    <s v="Retailer"/>
    <s v="South"/>
    <s v="2026-08"/>
    <s v="Missing"/>
    <s v="Missing"/>
    <x v="1"/>
    <x v="2"/>
    <s v="2026-08"/>
  </r>
  <r>
    <s v="T0220"/>
    <d v="2026-09-06T00:00:00"/>
    <s v="A115"/>
    <s v="P04"/>
    <n v="7500"/>
    <x v="1"/>
    <s v="Retailer"/>
    <s v="North"/>
    <s v="2026-09"/>
    <s v="Missing"/>
    <s v="Missing"/>
    <x v="0"/>
    <x v="5"/>
    <s v="2026-09"/>
  </r>
  <r>
    <s v="T0221"/>
    <d v="2026-09-08T00:00:00"/>
    <s v="A118"/>
    <s v="P01"/>
    <n v="750"/>
    <x v="0"/>
    <s v="Retailer"/>
    <s v="South"/>
    <s v="2026-09"/>
    <s v="Missing"/>
    <s v="Missing"/>
    <x v="0"/>
    <x v="0"/>
    <s v="2026-09"/>
  </r>
  <r>
    <s v="T0222"/>
    <d v="2026-09-28T00:00:00"/>
    <s v="A122"/>
    <s v="P03"/>
    <n v="250"/>
    <x v="0"/>
    <s v="Retailer"/>
    <s v="East"/>
    <s v="2026-09"/>
    <s v="Missing"/>
    <s v="Missing"/>
    <x v="0"/>
    <x v="2"/>
    <s v="2026-09"/>
  </r>
  <r>
    <s v="T0223"/>
    <d v="2026-08-05T00:00:00"/>
    <s v="A110"/>
    <s v="P06"/>
    <n v="12500"/>
    <x v="0"/>
    <s v="Retailer"/>
    <s v="West"/>
    <s v="2026-08"/>
    <s v="Missing"/>
    <s v="Missing"/>
    <x v="1"/>
    <x v="1"/>
    <s v="2026-08"/>
  </r>
  <r>
    <s v="T0224"/>
    <d v="2026-08-25T00:00:00"/>
    <s v="A127"/>
    <s v="P04"/>
    <n v="2000"/>
    <x v="0"/>
    <s v="Distributor"/>
    <s v="South"/>
    <s v="2026-08"/>
    <s v="Missing"/>
    <s v="Missing"/>
    <x v="1"/>
    <x v="5"/>
    <s v="2026-08"/>
  </r>
  <r>
    <s v="T0225"/>
    <d v="2026-09-16T00:00:00"/>
    <s v="A121"/>
    <s v="P05"/>
    <n v="10000"/>
    <x v="0"/>
    <s v="Retailer"/>
    <s v="West"/>
    <s v="2026-09"/>
    <s v="Missing"/>
    <s v="Missing"/>
    <x v="0"/>
    <x v="4"/>
    <s v="2026-09"/>
  </r>
  <r>
    <s v="T0226"/>
    <d v="2026-08-11T00:00:00"/>
    <s v="A140"/>
    <s v="P01"/>
    <n v="12500"/>
    <x v="0"/>
    <s v="Distributor"/>
    <s v="East"/>
    <s v="2026-08"/>
    <s v="Missing"/>
    <s v="Missing"/>
    <x v="1"/>
    <x v="0"/>
    <s v="2026-08"/>
  </r>
  <r>
    <s v="T0227"/>
    <d v="2026-09-12T00:00:00"/>
    <s v="A128"/>
    <s v="P04"/>
    <n v="10000"/>
    <x v="0"/>
    <s v="Distributor"/>
    <s v="South"/>
    <s v="2026-09"/>
    <s v="Missing"/>
    <s v="Missing"/>
    <x v="0"/>
    <x v="5"/>
    <s v="2026-09"/>
  </r>
  <r>
    <s v="T0228"/>
    <d v="2026-08-14T00:00:00"/>
    <s v="A133"/>
    <s v="P01"/>
    <n v="2000"/>
    <x v="0"/>
    <s v="Retailer"/>
    <s v="South"/>
    <s v="2026-08"/>
    <s v="Missing"/>
    <s v="Missing"/>
    <x v="1"/>
    <x v="0"/>
    <s v="2026-08"/>
  </r>
  <r>
    <s v="T0229"/>
    <d v="2026-09-13T00:00:00"/>
    <s v="A138"/>
    <s v="P04"/>
    <n v="7500"/>
    <x v="0"/>
    <s v="Retailer"/>
    <s v="West"/>
    <s v="2026-09"/>
    <s v="Missing"/>
    <s v="Missing"/>
    <x v="0"/>
    <x v="5"/>
    <s v="2026-09"/>
  </r>
  <r>
    <s v="T0230"/>
    <d v="2026-08-26T00:00:00"/>
    <s v="A139"/>
    <s v="P01"/>
    <n v="250"/>
    <x v="0"/>
    <s v="Distributor"/>
    <s v="West"/>
    <s v="2026-08"/>
    <s v="Missing"/>
    <s v="Missing"/>
    <x v="1"/>
    <x v="0"/>
    <s v="2026-08"/>
  </r>
  <r>
    <s v="T0231"/>
    <d v="2026-09-19T00:00:00"/>
    <s v="A109"/>
    <s v="P03"/>
    <n v="1500"/>
    <x v="0"/>
    <s v="Retailer"/>
    <s v="North"/>
    <s v="2026-09"/>
    <s v="Missing"/>
    <s v="Missing"/>
    <x v="0"/>
    <x v="2"/>
    <s v="2026-09"/>
  </r>
  <r>
    <s v="T0232"/>
    <d v="2026-09-01T00:00:00"/>
    <s v="A128"/>
    <s v="P02"/>
    <n v="750"/>
    <x v="0"/>
    <s v="Retailer"/>
    <s v="West"/>
    <s v="2026-09"/>
    <s v="Missing"/>
    <s v="Missing"/>
    <x v="0"/>
    <x v="3"/>
    <s v="2026-09"/>
  </r>
  <r>
    <s v="T0233"/>
    <d v="2026-09-02T00:00:00"/>
    <s v="A136"/>
    <s v="P06"/>
    <n v="20000"/>
    <x v="0"/>
    <s v="Retailer"/>
    <s v="East"/>
    <s v="2026-09"/>
    <s v="Missing"/>
    <s v="Missing"/>
    <x v="0"/>
    <x v="1"/>
    <s v="2026-09"/>
  </r>
  <r>
    <s v="T0234"/>
    <d v="2026-09-25T00:00:00"/>
    <s v="A103"/>
    <s v="P04"/>
    <n v="250"/>
    <x v="0"/>
    <s v="Retailer"/>
    <s v="South"/>
    <s v="2026-09"/>
    <s v="Missing"/>
    <s v="Missing"/>
    <x v="0"/>
    <x v="5"/>
    <s v="2026-09"/>
  </r>
  <r>
    <s v="T0235"/>
    <d v="2026-09-06T00:00:00"/>
    <s v="A128"/>
    <s v="P05"/>
    <n v="2500"/>
    <x v="0"/>
    <s v="Distributor"/>
    <s v="North"/>
    <s v="2026-09"/>
    <s v="Missing"/>
    <s v="Missing"/>
    <x v="0"/>
    <x v="4"/>
    <s v="2026-09"/>
  </r>
  <r>
    <s v="T0236"/>
    <d v="2026-08-26T00:00:00"/>
    <s v="A102"/>
    <s v="P03"/>
    <n v="750"/>
    <x v="1"/>
    <s v="Distributor"/>
    <s v="South"/>
    <s v="2026-08"/>
    <s v="Missing"/>
    <s v="Missing"/>
    <x v="1"/>
    <x v="2"/>
    <s v="2026-08"/>
  </r>
  <r>
    <s v="T0237"/>
    <d v="2026-08-06T00:00:00"/>
    <s v="A128"/>
    <s v="P01"/>
    <n v="1000"/>
    <x v="0"/>
    <s v="Retailer"/>
    <s v="East"/>
    <s v="2026-08"/>
    <s v="Missing"/>
    <s v="Missing"/>
    <x v="1"/>
    <x v="0"/>
    <s v="2026-08"/>
  </r>
  <r>
    <s v="T0238"/>
    <d v="2026-09-03T00:00:00"/>
    <s v="A106"/>
    <s v="P04"/>
    <n v="1500"/>
    <x v="0"/>
    <s v="Retailer"/>
    <s v="South"/>
    <s v="2026-09"/>
    <s v="Missing"/>
    <s v="Missing"/>
    <x v="0"/>
    <x v="5"/>
    <s v="2026-09"/>
  </r>
  <r>
    <s v="T0239"/>
    <d v="2026-09-19T00:00:00"/>
    <s v="A111"/>
    <s v="P01"/>
    <n v="7500"/>
    <x v="0"/>
    <s v="Retailer"/>
    <s v="West"/>
    <s v="2026-09"/>
    <s v="Missing"/>
    <s v="Missing"/>
    <x v="0"/>
    <x v="0"/>
    <s v="2026-09"/>
  </r>
  <r>
    <s v="T0240"/>
    <d v="2026-09-27T00:00:00"/>
    <s v="A123"/>
    <s v="P03"/>
    <n v="15000"/>
    <x v="0"/>
    <s v="Retailer"/>
    <s v="North"/>
    <s v="2026-09"/>
    <s v="Missing"/>
    <s v="Missing"/>
    <x v="0"/>
    <x v="2"/>
    <s v="2026-09"/>
  </r>
  <r>
    <s v="T0241"/>
    <d v="2026-08-10T00:00:00"/>
    <s v="A117"/>
    <s v="P02"/>
    <n v="750"/>
    <x v="1"/>
    <s v="Retailer"/>
    <s v="North"/>
    <s v="2026-08"/>
    <s v="Missing"/>
    <s v="Missing"/>
    <x v="1"/>
    <x v="3"/>
    <s v="2026-08"/>
  </r>
  <r>
    <s v="T0242"/>
    <d v="2026-08-12T00:00:00"/>
    <s v="A999"/>
    <s v="P04"/>
    <n v="5000"/>
    <x v="1"/>
    <s v="Retailer"/>
    <s v="East"/>
    <s v="2026-08"/>
    <s v="Missing"/>
    <s v="Missing"/>
    <x v="1"/>
    <x v="5"/>
    <s v="2026-08"/>
  </r>
  <r>
    <s v="T0243"/>
    <d v="2026-09-13T00:00:00"/>
    <s v="A137"/>
    <s v="P06"/>
    <n v="12500"/>
    <x v="1"/>
    <s v="Distributor"/>
    <s v="South"/>
    <s v="2026-09"/>
    <s v="Missing"/>
    <s v="Missing"/>
    <x v="0"/>
    <x v="1"/>
    <s v="2026-09"/>
  </r>
  <r>
    <s v="T0244"/>
    <d v="2026-08-10T00:00:00"/>
    <s v="A129"/>
    <s v="P01"/>
    <n v="5000"/>
    <x v="0"/>
    <s v="Retailer"/>
    <s v="South"/>
    <s v="2026-08"/>
    <s v="Missing"/>
    <s v="Missing"/>
    <x v="1"/>
    <x v="0"/>
    <s v="2026-08"/>
  </r>
  <r>
    <s v="T0245"/>
    <d v="2026-09-20T00:00:00"/>
    <s v="A118"/>
    <s v="P05"/>
    <n v="250"/>
    <x v="0"/>
    <s v="Retailer"/>
    <s v="North"/>
    <s v="2026-09"/>
    <s v="Missing"/>
    <s v="Missing"/>
    <x v="0"/>
    <x v="4"/>
    <s v="2026-09"/>
  </r>
  <r>
    <s v="T0246"/>
    <d v="2026-08-20T00:00:00"/>
    <s v="A130"/>
    <s v="P04"/>
    <n v="250"/>
    <x v="0"/>
    <s v="Distributor"/>
    <s v="South"/>
    <s v="2026-08"/>
    <s v="Missing"/>
    <s v="Missing"/>
    <x v="1"/>
    <x v="5"/>
    <s v="2026-08"/>
  </r>
  <r>
    <s v="T0247"/>
    <d v="2026-08-05T00:00:00"/>
    <m/>
    <s v="P01"/>
    <n v="10000"/>
    <x v="1"/>
    <s v="Retailer"/>
    <s v="East"/>
    <s v="2026-08"/>
    <s v="Missing"/>
    <s v="Missing"/>
    <x v="1"/>
    <x v="0"/>
    <s v="2026-08"/>
  </r>
  <r>
    <s v="T0248"/>
    <d v="2026-08-30T00:00:00"/>
    <s v="A138"/>
    <s v="P05"/>
    <n v="20000"/>
    <x v="0"/>
    <s v="Distributor"/>
    <s v="West"/>
    <s v="2026-08"/>
    <s v="Missing"/>
    <s v="Missing"/>
    <x v="1"/>
    <x v="4"/>
    <s v="2026-08"/>
  </r>
  <r>
    <s v="T0249"/>
    <d v="2026-08-21T00:00:00"/>
    <s v="A139"/>
    <s v="P04"/>
    <n v="7500"/>
    <x v="0"/>
    <s v="Retailer"/>
    <s v="East"/>
    <s v="2026-08"/>
    <s v="Missing"/>
    <s v="Missing"/>
    <x v="1"/>
    <x v="5"/>
    <s v="2026-08"/>
  </r>
  <r>
    <s v="T0250"/>
    <d v="2026-08-07T00:00:00"/>
    <s v="A122"/>
    <s v="P06"/>
    <n v="500"/>
    <x v="0"/>
    <s v="Retailer"/>
    <s v="West"/>
    <s v="2026-08"/>
    <s v="Missing"/>
    <s v="Missing"/>
    <x v="1"/>
    <x v="1"/>
    <s v="2026-08"/>
  </r>
  <r>
    <s v="T0251"/>
    <d v="2026-08-03T00:00:00"/>
    <s v="A116"/>
    <s v="P06"/>
    <n v="5000"/>
    <x v="0"/>
    <s v="Retailer"/>
    <s v="West"/>
    <s v="2026-08"/>
    <s v="Missing"/>
    <s v="Missing"/>
    <x v="1"/>
    <x v="1"/>
    <s v="2026-08"/>
  </r>
  <r>
    <s v="T0252"/>
    <d v="2026-08-24T00:00:00"/>
    <s v="A124"/>
    <s v="P03"/>
    <n v="2500"/>
    <x v="0"/>
    <s v="Distributor"/>
    <s v="North"/>
    <s v="2026-08"/>
    <s v="Missing"/>
    <s v="Missing"/>
    <x v="1"/>
    <x v="2"/>
    <s v="2026-08"/>
  </r>
  <r>
    <s v="T0253"/>
    <d v="2026-09-20T00:00:00"/>
    <s v="A999"/>
    <s v="P06"/>
    <n v="2000"/>
    <x v="0"/>
    <s v="Distributor"/>
    <s v="North"/>
    <s v="2026-09"/>
    <s v="Missing"/>
    <s v="Missing"/>
    <x v="0"/>
    <x v="1"/>
    <s v="2026-09"/>
  </r>
  <r>
    <s v="T0254"/>
    <d v="2026-09-05T00:00:00"/>
    <s v="A125"/>
    <s v="P03"/>
    <n v="1500"/>
    <x v="1"/>
    <s v="Retailer"/>
    <s v="South"/>
    <s v="2026-09"/>
    <s v="Missing"/>
    <s v="Missing"/>
    <x v="0"/>
    <x v="2"/>
    <s v="2026-09"/>
  </r>
  <r>
    <s v="T0255"/>
    <d v="2026-08-06T00:00:00"/>
    <s v="A138"/>
    <s v="P06"/>
    <n v="750"/>
    <x v="0"/>
    <s v="Distributor"/>
    <s v="East"/>
    <s v="2026-08"/>
    <s v="Missing"/>
    <s v="Missing"/>
    <x v="1"/>
    <x v="1"/>
    <s v="2026-08"/>
  </r>
  <r>
    <s v="T0256"/>
    <d v="2026-08-09T00:00:00"/>
    <s v="A139"/>
    <s v="P06"/>
    <n v="500"/>
    <x v="0"/>
    <s v="Retailer"/>
    <s v="East"/>
    <s v="2026-08"/>
    <s v="Missing"/>
    <s v="Missing"/>
    <x v="1"/>
    <x v="1"/>
    <s v="2026-08"/>
  </r>
  <r>
    <s v="T0257"/>
    <d v="2026-09-11T00:00:00"/>
    <s v="A122"/>
    <s v="P02"/>
    <n v="12500"/>
    <x v="0"/>
    <s v="Retailer"/>
    <s v="East"/>
    <s v="2026-09"/>
    <s v="Missing"/>
    <s v="Missing"/>
    <x v="0"/>
    <x v="3"/>
    <s v="2026-09"/>
  </r>
  <r>
    <s v="T0258"/>
    <d v="2026-09-02T00:00:00"/>
    <s v="A124"/>
    <s v="P01"/>
    <n v="2000"/>
    <x v="0"/>
    <s v="Retailer"/>
    <s v="West"/>
    <s v="2026-09"/>
    <s v="Missing"/>
    <s v="Missing"/>
    <x v="0"/>
    <x v="0"/>
    <s v="2026-09"/>
  </r>
  <r>
    <s v="T0259"/>
    <d v="2026-08-22T00:00:00"/>
    <s v="A132"/>
    <s v="P02"/>
    <n v="1000"/>
    <x v="0"/>
    <s v="Retailer"/>
    <s v="North"/>
    <s v="2026-08"/>
    <s v="Missing"/>
    <s v="Missing"/>
    <x v="1"/>
    <x v="3"/>
    <s v="2026-08"/>
  </r>
  <r>
    <s v="T0260"/>
    <d v="2026-08-19T00:00:00"/>
    <s v="A107"/>
    <s v="P05"/>
    <n v="20000"/>
    <x v="0"/>
    <s v="Retailer"/>
    <s v="North"/>
    <s v="2026-08"/>
    <s v="Missing"/>
    <s v="Missing"/>
    <x v="1"/>
    <x v="4"/>
    <s v="2026-08"/>
  </r>
  <r>
    <s v="T0261"/>
    <d v="2026-09-12T00:00:00"/>
    <s v="A122"/>
    <s v="P05"/>
    <n v="750"/>
    <x v="1"/>
    <s v="Distributor"/>
    <s v="West"/>
    <s v="2026-09"/>
    <s v="Missing"/>
    <s v="Missing"/>
    <x v="0"/>
    <x v="4"/>
    <s v="2026-09"/>
  </r>
  <r>
    <s v="T0262"/>
    <d v="2026-08-11T00:00:00"/>
    <s v="A112"/>
    <s v="P06"/>
    <n v="20000"/>
    <x v="1"/>
    <s v="Retailer"/>
    <s v="East"/>
    <s v="2026-08"/>
    <s v="Missing"/>
    <s v="Missing"/>
    <x v="1"/>
    <x v="1"/>
    <s v="2026-08"/>
  </r>
  <r>
    <s v="T0263"/>
    <d v="2026-08-03T00:00:00"/>
    <s v="A127"/>
    <s v="P03"/>
    <n v="12500"/>
    <x v="0"/>
    <s v="Distributor"/>
    <s v="South"/>
    <s v="2026-08"/>
    <s v="Missing"/>
    <s v="Missing"/>
    <x v="1"/>
    <x v="2"/>
    <s v="2026-08"/>
  </r>
  <r>
    <s v="T0264"/>
    <d v="2026-09-18T00:00:00"/>
    <s v="A129"/>
    <s v="P02"/>
    <n v="7500"/>
    <x v="0"/>
    <s v="Distributor"/>
    <s v="East"/>
    <s v="2026-09"/>
    <s v="Missing"/>
    <s v="Missing"/>
    <x v="0"/>
    <x v="3"/>
    <s v="2026-09"/>
  </r>
  <r>
    <s v="T0265"/>
    <d v="2026-09-27T00:00:00"/>
    <s v="A113"/>
    <s v="P03"/>
    <n v="12500"/>
    <x v="1"/>
    <s v="Distributor"/>
    <s v="East"/>
    <s v="2026-09"/>
    <s v="Missing"/>
    <s v="Missing"/>
    <x v="0"/>
    <x v="2"/>
    <s v="2026-09"/>
  </r>
  <r>
    <s v="T0266"/>
    <d v="2026-09-19T00:00:00"/>
    <s v="A119"/>
    <s v="P04"/>
    <n v="7500"/>
    <x v="0"/>
    <s v="Distributor"/>
    <s v="West"/>
    <s v="2026-09"/>
    <s v="Missing"/>
    <s v="Missing"/>
    <x v="0"/>
    <x v="5"/>
    <s v="2026-09"/>
  </r>
  <r>
    <s v="T0267"/>
    <d v="2026-09-22T00:00:00"/>
    <s v="A113"/>
    <s v="P05"/>
    <n v="750"/>
    <x v="0"/>
    <s v="Retailer"/>
    <s v="East"/>
    <s v="2026-09"/>
    <s v="Missing"/>
    <s v="Missing"/>
    <x v="0"/>
    <x v="4"/>
    <s v="2026-09"/>
  </r>
  <r>
    <s v="T0268"/>
    <d v="2026-09-25T00:00:00"/>
    <s v="A124"/>
    <s v="P05"/>
    <n v="500"/>
    <x v="0"/>
    <s v="Retailer"/>
    <s v="South"/>
    <s v="2026-09"/>
    <s v="Missing"/>
    <s v="Missing"/>
    <x v="0"/>
    <x v="4"/>
    <s v="2026-09"/>
  </r>
  <r>
    <s v="T0269"/>
    <d v="2026-08-06T00:00:00"/>
    <s v="A111"/>
    <s v="P03"/>
    <n v="5000"/>
    <x v="0"/>
    <s v="Retailer"/>
    <s v="East"/>
    <s v="2026-08"/>
    <s v="Missing"/>
    <s v="Missing"/>
    <x v="1"/>
    <x v="2"/>
    <s v="2026-08"/>
  </r>
  <r>
    <s v="T0270"/>
    <d v="2026-08-06T00:00:00"/>
    <s v="A115"/>
    <s v="P04"/>
    <n v="2000"/>
    <x v="0"/>
    <s v="Distributor"/>
    <s v="North"/>
    <s v="2026-08"/>
    <s v="Missing"/>
    <s v="Missing"/>
    <x v="1"/>
    <x v="5"/>
    <s v="2026-08"/>
  </r>
  <r>
    <s v="T0271"/>
    <d v="2026-08-26T00:00:00"/>
    <s v="A133"/>
    <s v="P03"/>
    <n v="1000"/>
    <x v="0"/>
    <s v="Retailer"/>
    <s v="South"/>
    <s v="2026-08"/>
    <s v="Missing"/>
    <s v="Missing"/>
    <x v="1"/>
    <x v="2"/>
    <s v="2026-08"/>
  </r>
  <r>
    <s v="T0272"/>
    <d v="2026-08-15T00:00:00"/>
    <s v="A102"/>
    <s v="P03"/>
    <n v="500"/>
    <x v="0"/>
    <s v="Retailer"/>
    <s v="West"/>
    <s v="2026-08"/>
    <s v="Missing"/>
    <s v="Missing"/>
    <x v="1"/>
    <x v="2"/>
    <s v="2026-08"/>
  </r>
  <r>
    <s v="T0273"/>
    <d v="2026-08-03T00:00:00"/>
    <s v="A119"/>
    <s v="P04"/>
    <n v="15000"/>
    <x v="0"/>
    <s v="Retailer"/>
    <s v="East"/>
    <s v="2026-08"/>
    <s v="Missing"/>
    <s v="Missing"/>
    <x v="1"/>
    <x v="5"/>
    <s v="2026-08"/>
  </r>
  <r>
    <s v="T0274"/>
    <d v="2026-08-29T00:00:00"/>
    <s v="A140"/>
    <s v="P01"/>
    <n v="500"/>
    <x v="0"/>
    <s v="Distributor"/>
    <s v="West"/>
    <s v="2026-08"/>
    <s v="Missing"/>
    <s v="Missing"/>
    <x v="1"/>
    <x v="0"/>
    <s v="2026-08"/>
  </r>
  <r>
    <s v="T0275"/>
    <d v="2026-09-23T00:00:00"/>
    <s v="A110"/>
    <s v="P05"/>
    <n v="15000"/>
    <x v="1"/>
    <s v="Retailer"/>
    <s v="East"/>
    <s v="2026-09"/>
    <s v="Missing"/>
    <s v="Missing"/>
    <x v="0"/>
    <x v="4"/>
    <s v="2026-09"/>
  </r>
  <r>
    <s v="T0276"/>
    <d v="2026-08-08T00:00:00"/>
    <s v="A119"/>
    <s v="P02"/>
    <n v="1500"/>
    <x v="0"/>
    <s v="Retailer"/>
    <s v="West"/>
    <s v="2026-08"/>
    <s v="Missing"/>
    <s v="Missing"/>
    <x v="1"/>
    <x v="3"/>
    <s v="2026-08"/>
  </r>
  <r>
    <s v="T0277"/>
    <d v="2026-08-27T00:00:00"/>
    <s v="A999"/>
    <s v="P05"/>
    <n v="5000"/>
    <x v="0"/>
    <s v="Retailer"/>
    <s v="East"/>
    <s v="2026-08"/>
    <s v="Missing"/>
    <s v="Missing"/>
    <x v="1"/>
    <x v="4"/>
    <s v="2026-08"/>
  </r>
  <r>
    <s v="T0278"/>
    <d v="2026-09-08T00:00:00"/>
    <s v="A135"/>
    <s v="P01"/>
    <n v="12500"/>
    <x v="0"/>
    <s v="Retailer"/>
    <s v="West"/>
    <s v="2026-09"/>
    <s v="Missing"/>
    <s v="Missing"/>
    <x v="0"/>
    <x v="0"/>
    <s v="2026-09"/>
  </r>
  <r>
    <s v="T0279"/>
    <d v="2026-09-15T00:00:00"/>
    <s v="A110"/>
    <s v="P03"/>
    <n v="2500"/>
    <x v="0"/>
    <s v="Retailer"/>
    <s v="South"/>
    <s v="2026-09"/>
    <s v="Missing"/>
    <s v="Missing"/>
    <x v="0"/>
    <x v="2"/>
    <s v="2026-09"/>
  </r>
  <r>
    <s v="T0280"/>
    <d v="2026-08-16T00:00:00"/>
    <s v="A137"/>
    <s v="P04"/>
    <n v="750"/>
    <x v="0"/>
    <s v="Retailer"/>
    <s v="South"/>
    <s v="2026-08"/>
    <s v="Missing"/>
    <s v="Missing"/>
    <x v="1"/>
    <x v="5"/>
    <s v="2026-08"/>
  </r>
  <r>
    <s v="T0281"/>
    <d v="2026-08-05T00:00:00"/>
    <s v="A134"/>
    <s v="P05"/>
    <n v="7500"/>
    <x v="0"/>
    <s v="Retailer"/>
    <s v="North"/>
    <s v="2026-08"/>
    <s v="Missing"/>
    <s v="Missing"/>
    <x v="1"/>
    <x v="4"/>
    <s v="2026-08"/>
  </r>
  <r>
    <s v="T0282"/>
    <d v="2026-08-25T00:00:00"/>
    <s v="A131"/>
    <s v="P01"/>
    <n v="12500"/>
    <x v="0"/>
    <s v="Distributor"/>
    <s v="South"/>
    <s v="2026-08"/>
    <s v="Missing"/>
    <s v="Missing"/>
    <x v="1"/>
    <x v="0"/>
    <s v="2026-08"/>
  </r>
  <r>
    <s v="T0283"/>
    <d v="2026-09-17T00:00:00"/>
    <s v="A102"/>
    <s v="P03"/>
    <n v="20000"/>
    <x v="0"/>
    <s v="Distributor"/>
    <s v="West"/>
    <s v="2026-09"/>
    <s v="Missing"/>
    <s v="Missing"/>
    <x v="0"/>
    <x v="2"/>
    <s v="2026-09"/>
  </r>
  <r>
    <s v="T0284"/>
    <d v="2026-09-16T00:00:00"/>
    <s v="A999"/>
    <s v="P01"/>
    <n v="20000"/>
    <x v="1"/>
    <s v="Retailer"/>
    <s v="South"/>
    <s v="2026-09"/>
    <s v="Missing"/>
    <s v="Missing"/>
    <x v="0"/>
    <x v="0"/>
    <s v="2026-09"/>
  </r>
  <r>
    <s v="T0285"/>
    <d v="2026-08-09T00:00:00"/>
    <s v="A103"/>
    <s v="P03"/>
    <n v="7500"/>
    <x v="0"/>
    <s v="Retailer"/>
    <s v="West"/>
    <s v="2026-08"/>
    <s v="Missing"/>
    <s v="Missing"/>
    <x v="1"/>
    <x v="2"/>
    <s v="2026-08"/>
  </r>
  <r>
    <s v="T0286"/>
    <d v="2026-09-23T00:00:00"/>
    <s v="A130"/>
    <s v="P06"/>
    <n v="5000"/>
    <x v="0"/>
    <s v="Retailer"/>
    <s v="North"/>
    <s v="2026-09"/>
    <s v="Missing"/>
    <s v="Missing"/>
    <x v="0"/>
    <x v="1"/>
    <s v="2026-09"/>
  </r>
  <r>
    <s v="T0287"/>
    <d v="2026-09-15T00:00:00"/>
    <s v="A130"/>
    <s v="P01"/>
    <n v="1500"/>
    <x v="0"/>
    <s v="Retailer"/>
    <s v="West"/>
    <s v="2026-09"/>
    <s v="Missing"/>
    <s v="Missing"/>
    <x v="0"/>
    <x v="0"/>
    <s v="2026-09"/>
  </r>
  <r>
    <s v="T0288"/>
    <d v="2026-09-26T00:00:00"/>
    <s v="A103"/>
    <s v="P03"/>
    <n v="1500"/>
    <x v="0"/>
    <s v="Distributor"/>
    <s v="East"/>
    <s v="2026-09"/>
    <s v="Missing"/>
    <s v="Missing"/>
    <x v="0"/>
    <x v="2"/>
    <s v="2026-09"/>
  </r>
  <r>
    <s v="T0289"/>
    <d v="2026-08-17T00:00:00"/>
    <s v="A103"/>
    <s v="P06"/>
    <n v="1000"/>
    <x v="0"/>
    <s v="Distributor"/>
    <s v="North"/>
    <s v="2026-08"/>
    <s v="Missing"/>
    <s v="Missing"/>
    <x v="1"/>
    <x v="1"/>
    <s v="2026-08"/>
  </r>
  <r>
    <s v="T0290"/>
    <d v="2026-09-25T00:00:00"/>
    <m/>
    <s v="P03"/>
    <n v="1500"/>
    <x v="0"/>
    <s v="Distributor"/>
    <s v="East"/>
    <s v="2026-09"/>
    <s v="Missing"/>
    <s v="Missing"/>
    <x v="0"/>
    <x v="2"/>
    <s v="2026-09"/>
  </r>
  <r>
    <s v="T0291"/>
    <d v="2026-09-26T00:00:00"/>
    <s v="A126"/>
    <s v="P06"/>
    <n v="5000"/>
    <x v="0"/>
    <s v="Distributor"/>
    <s v="West"/>
    <s v="2026-09"/>
    <s v="Missing"/>
    <s v="Missing"/>
    <x v="0"/>
    <x v="1"/>
    <s v="2026-09"/>
  </r>
  <r>
    <s v="T0292"/>
    <d v="2026-09-01T00:00:00"/>
    <s v="A132"/>
    <s v="P03"/>
    <n v="20000"/>
    <x v="0"/>
    <s v="Distributor"/>
    <s v="North"/>
    <s v="2026-09"/>
    <s v="Missing"/>
    <s v="Missing"/>
    <x v="0"/>
    <x v="2"/>
    <s v="2026-09"/>
  </r>
  <r>
    <s v="T0293"/>
    <d v="2026-09-16T00:00:00"/>
    <s v="A128"/>
    <s v="P01"/>
    <n v="2500"/>
    <x v="1"/>
    <s v="Retailer"/>
    <s v="South"/>
    <s v="2026-09"/>
    <s v="Missing"/>
    <s v="Missing"/>
    <x v="0"/>
    <x v="0"/>
    <s v="2026-09"/>
  </r>
  <r>
    <s v="T0294"/>
    <d v="2026-08-21T00:00:00"/>
    <s v="A107"/>
    <s v="P01"/>
    <n v="2000"/>
    <x v="0"/>
    <s v="Distributor"/>
    <s v="East"/>
    <s v="2026-08"/>
    <s v="Missing"/>
    <s v="Missing"/>
    <x v="1"/>
    <x v="0"/>
    <s v="2026-08"/>
  </r>
  <r>
    <s v="T0295"/>
    <d v="2026-09-08T00:00:00"/>
    <s v="A128"/>
    <s v="P02"/>
    <n v="15000"/>
    <x v="0"/>
    <s v="Distributor"/>
    <s v="East"/>
    <s v="2026-09"/>
    <s v="Missing"/>
    <s v="Missing"/>
    <x v="0"/>
    <x v="3"/>
    <s v="2026-09"/>
  </r>
  <r>
    <s v="T0296"/>
    <d v="2026-08-03T00:00:00"/>
    <s v="A123"/>
    <s v="P05"/>
    <n v="2500"/>
    <x v="0"/>
    <s v="Retailer"/>
    <s v="North"/>
    <s v="2026-08"/>
    <s v="Missing"/>
    <s v="Missing"/>
    <x v="1"/>
    <x v="4"/>
    <s v="2026-08"/>
  </r>
  <r>
    <s v="T0297"/>
    <d v="2026-08-05T00:00:00"/>
    <s v="A999"/>
    <s v="P04"/>
    <n v="2000"/>
    <x v="0"/>
    <s v="Retailer"/>
    <s v="West"/>
    <s v="2026-08"/>
    <s v="Missing"/>
    <s v="Missing"/>
    <x v="1"/>
    <x v="5"/>
    <s v="2026-08"/>
  </r>
  <r>
    <s v="T0298"/>
    <d v="2026-08-02T00:00:00"/>
    <s v="A110"/>
    <s v="P05"/>
    <n v="12500"/>
    <x v="0"/>
    <s v="Retailer"/>
    <s v="West"/>
    <s v="2026-08"/>
    <s v="Missing"/>
    <s v="Missing"/>
    <x v="1"/>
    <x v="4"/>
    <s v="2026-08"/>
  </r>
  <r>
    <s v="T0299"/>
    <d v="2026-08-05T00:00:00"/>
    <s v="A116"/>
    <s v="P06"/>
    <n v="2000"/>
    <x v="0"/>
    <s v="Distributor"/>
    <s v="North"/>
    <s v="2026-08"/>
    <s v="Missing"/>
    <s v="Missing"/>
    <x v="1"/>
    <x v="1"/>
    <s v="2026-08"/>
  </r>
  <r>
    <s v="T0300"/>
    <d v="2026-09-08T00:00:00"/>
    <s v="A110"/>
    <s v="P06"/>
    <n v="5000"/>
    <x v="0"/>
    <s v="Distributor"/>
    <s v="East"/>
    <s v="2026-09"/>
    <s v="Missing"/>
    <s v="Missing"/>
    <x v="0"/>
    <x v="1"/>
    <s v="2026-09"/>
  </r>
  <r>
    <s v="T0301"/>
    <d v="2026-09-18T00:00:00"/>
    <s v="A105"/>
    <s v="P05"/>
    <n v="750"/>
    <x v="0"/>
    <s v="Distributor"/>
    <s v="East"/>
    <s v="2026-09"/>
    <s v="Missing"/>
    <s v="Missing"/>
    <x v="0"/>
    <x v="4"/>
    <s v="2026-09"/>
  </r>
  <r>
    <s v="T0302"/>
    <d v="2026-08-21T00:00:00"/>
    <m/>
    <s v="P03"/>
    <n v="1000"/>
    <x v="0"/>
    <s v="Retailer"/>
    <s v="West"/>
    <s v="2026-08"/>
    <s v="Missing"/>
    <s v="Missing"/>
    <x v="1"/>
    <x v="2"/>
    <s v="2026-08"/>
  </r>
  <r>
    <s v="T0303"/>
    <d v="2026-09-01T00:00:00"/>
    <s v="A134"/>
    <s v="P04"/>
    <n v="7500"/>
    <x v="0"/>
    <s v="Distributor"/>
    <s v="South"/>
    <s v="2026-09"/>
    <s v="Missing"/>
    <s v="Missing"/>
    <x v="0"/>
    <x v="5"/>
    <s v="2026-09"/>
  </r>
  <r>
    <s v="T0304"/>
    <d v="2026-09-15T00:00:00"/>
    <s v="A129"/>
    <s v="P02"/>
    <n v="10000"/>
    <x v="0"/>
    <s v="Retailer"/>
    <s v="East"/>
    <s v="2026-09"/>
    <s v="Missing"/>
    <s v="Missing"/>
    <x v="0"/>
    <x v="3"/>
    <s v="2026-09"/>
  </r>
  <r>
    <s v="T0305"/>
    <d v="2026-08-13T00:00:00"/>
    <s v="A108"/>
    <s v="P02"/>
    <n v="500"/>
    <x v="0"/>
    <s v="Retailer"/>
    <s v="East"/>
    <s v="2026-08"/>
    <s v="Missing"/>
    <s v="Missing"/>
    <x v="1"/>
    <x v="3"/>
    <s v="2026-08"/>
  </r>
  <r>
    <s v="T0306"/>
    <d v="2026-08-06T00:00:00"/>
    <s v="A121"/>
    <s v="P06"/>
    <n v="2000"/>
    <x v="0"/>
    <s v="Retailer"/>
    <s v="South"/>
    <s v="2026-08"/>
    <s v="Missing"/>
    <s v="Missing"/>
    <x v="1"/>
    <x v="1"/>
    <s v="2026-08"/>
  </r>
  <r>
    <s v="T0307"/>
    <d v="2026-09-27T00:00:00"/>
    <s v="A120"/>
    <s v="P02"/>
    <n v="15000"/>
    <x v="0"/>
    <s v="Distributor"/>
    <s v="West"/>
    <s v="2026-09"/>
    <s v="Missing"/>
    <s v="Missing"/>
    <x v="0"/>
    <x v="3"/>
    <s v="2026-09"/>
  </r>
  <r>
    <s v="T0308"/>
    <d v="2026-08-08T00:00:00"/>
    <s v="A113"/>
    <s v="P02"/>
    <n v="1000"/>
    <x v="0"/>
    <s v="Retailer"/>
    <s v="South"/>
    <s v="2026-08"/>
    <s v="Missing"/>
    <s v="Missing"/>
    <x v="1"/>
    <x v="3"/>
    <s v="2026-08"/>
  </r>
  <r>
    <s v="T0309"/>
    <d v="2026-09-05T00:00:00"/>
    <s v="A137"/>
    <s v="P03"/>
    <n v="5000"/>
    <x v="0"/>
    <s v="Retailer"/>
    <s v="North"/>
    <s v="2026-09"/>
    <s v="Missing"/>
    <s v="Missing"/>
    <x v="0"/>
    <x v="2"/>
    <s v="2026-09"/>
  </r>
  <r>
    <s v="T0310"/>
    <d v="2026-08-05T00:00:00"/>
    <s v="A120"/>
    <s v="P04"/>
    <n v="15000"/>
    <x v="0"/>
    <s v="Retailer"/>
    <s v="East"/>
    <s v="2026-08"/>
    <s v="Missing"/>
    <s v="Missing"/>
    <x v="1"/>
    <x v="5"/>
    <s v="2026-08"/>
  </r>
  <r>
    <s v="T0311"/>
    <d v="2026-09-19T00:00:00"/>
    <s v="A127"/>
    <s v="P05"/>
    <n v="500"/>
    <x v="0"/>
    <s v="Distributor"/>
    <s v="North"/>
    <s v="2026-09"/>
    <s v="Missing"/>
    <s v="Missing"/>
    <x v="0"/>
    <x v="4"/>
    <s v="2026-09"/>
  </r>
  <r>
    <s v="T0312"/>
    <d v="2026-08-29T00:00:00"/>
    <s v="A130"/>
    <s v="P06"/>
    <n v="7500"/>
    <x v="0"/>
    <s v="Retailer"/>
    <s v="West"/>
    <s v="2026-08"/>
    <s v="Missing"/>
    <s v="Missing"/>
    <x v="1"/>
    <x v="1"/>
    <s v="2026-08"/>
  </r>
  <r>
    <s v="T0313"/>
    <d v="2026-09-19T00:00:00"/>
    <s v="A109"/>
    <s v="P04"/>
    <n v="7500"/>
    <x v="0"/>
    <s v="Retailer"/>
    <s v="West"/>
    <s v="2026-09"/>
    <s v="Missing"/>
    <s v="Missing"/>
    <x v="0"/>
    <x v="5"/>
    <s v="2026-09"/>
  </r>
  <r>
    <s v="T0314"/>
    <d v="2026-08-20T00:00:00"/>
    <s v="A111"/>
    <s v="P02"/>
    <n v="2000"/>
    <x v="0"/>
    <s v="Distributor"/>
    <s v="South"/>
    <s v="2026-08"/>
    <s v="Missing"/>
    <s v="Missing"/>
    <x v="1"/>
    <x v="3"/>
    <s v="2026-08"/>
  </r>
  <r>
    <s v="T0315"/>
    <d v="2026-09-24T00:00:00"/>
    <s v="A106"/>
    <s v="P03"/>
    <n v="1000"/>
    <x v="0"/>
    <s v="Distributor"/>
    <s v="West"/>
    <s v="2026-09"/>
    <s v="Missing"/>
    <s v="Missing"/>
    <x v="0"/>
    <x v="2"/>
    <s v="2026-09"/>
  </r>
  <r>
    <s v="T0316"/>
    <d v="2026-09-10T00:00:00"/>
    <s v="A120"/>
    <s v="P05"/>
    <n v="7500"/>
    <x v="0"/>
    <s v="Retailer"/>
    <s v="West"/>
    <s v="2026-09"/>
    <s v="Missing"/>
    <s v="Missing"/>
    <x v="0"/>
    <x v="4"/>
    <s v="2026-09"/>
  </r>
  <r>
    <s v="T0317"/>
    <d v="2026-09-07T00:00:00"/>
    <s v="A138"/>
    <s v="P02"/>
    <n v="750"/>
    <x v="1"/>
    <s v="Retailer"/>
    <s v="South"/>
    <s v="2026-09"/>
    <s v="Missing"/>
    <s v="Missing"/>
    <x v="0"/>
    <x v="3"/>
    <s v="2026-09"/>
  </r>
  <r>
    <s v="T0318"/>
    <d v="2026-09-23T00:00:00"/>
    <s v="A137"/>
    <s v="P01"/>
    <n v="250"/>
    <x v="0"/>
    <s v="Retailer"/>
    <s v="South"/>
    <s v="2026-09"/>
    <s v="Missing"/>
    <s v="Missing"/>
    <x v="0"/>
    <x v="0"/>
    <s v="2026-09"/>
  </r>
  <r>
    <s v="T0319"/>
    <d v="2026-09-11T00:00:00"/>
    <s v="A114"/>
    <s v="P05"/>
    <n v="2500"/>
    <x v="1"/>
    <s v="Retailer"/>
    <s v="North"/>
    <s v="2026-09"/>
    <s v="Missing"/>
    <s v="Missing"/>
    <x v="0"/>
    <x v="4"/>
    <s v="2026-09"/>
  </r>
  <r>
    <s v="T0320"/>
    <d v="2026-09-01T00:00:00"/>
    <s v="A999"/>
    <s v="P05"/>
    <n v="1500"/>
    <x v="0"/>
    <s v="Distributor"/>
    <s v="West"/>
    <s v="2026-09"/>
    <s v="Missing"/>
    <s v="Missing"/>
    <x v="0"/>
    <x v="4"/>
    <s v="2026-09"/>
  </r>
  <r>
    <s v="T0321"/>
    <d v="2026-09-21T00:00:00"/>
    <s v="A126"/>
    <s v="P03"/>
    <n v="5000"/>
    <x v="0"/>
    <s v="Retailer"/>
    <s v="North"/>
    <s v="2026-09"/>
    <s v="Missing"/>
    <s v="Missing"/>
    <x v="0"/>
    <x v="2"/>
    <s v="2026-09"/>
  </r>
  <r>
    <s v="T0322"/>
    <d v="2026-08-11T00:00:00"/>
    <s v="A129"/>
    <s v="P04"/>
    <n v="5000"/>
    <x v="0"/>
    <s v="Retailer"/>
    <s v="South"/>
    <s v="2026-08"/>
    <s v="Missing"/>
    <s v="Missing"/>
    <x v="1"/>
    <x v="5"/>
    <s v="2026-08"/>
  </r>
  <r>
    <s v="T0323"/>
    <d v="2026-09-08T00:00:00"/>
    <s v="A110"/>
    <s v="P03"/>
    <n v="15000"/>
    <x v="0"/>
    <s v="Retailer"/>
    <s v="South"/>
    <s v="2026-09"/>
    <s v="Missing"/>
    <s v="Missing"/>
    <x v="0"/>
    <x v="2"/>
    <s v="2026-09"/>
  </r>
  <r>
    <s v="T0324"/>
    <d v="2026-08-26T00:00:00"/>
    <s v="A109"/>
    <s v="P03"/>
    <n v="7500"/>
    <x v="0"/>
    <s v="Retailer"/>
    <s v="South"/>
    <s v="2026-08"/>
    <s v="Missing"/>
    <s v="Missing"/>
    <x v="1"/>
    <x v="2"/>
    <s v="2026-08"/>
  </r>
  <r>
    <s v="T0325"/>
    <d v="2026-08-16T00:00:00"/>
    <s v="A130"/>
    <s v="P01"/>
    <n v="1500"/>
    <x v="0"/>
    <s v="Retailer"/>
    <s v="West"/>
    <s v="2026-08"/>
    <s v="Missing"/>
    <s v="Missing"/>
    <x v="1"/>
    <x v="0"/>
    <s v="2026-08"/>
  </r>
  <r>
    <s v="T0326"/>
    <d v="2026-08-07T00:00:00"/>
    <s v="A104"/>
    <s v="P03"/>
    <n v="2500"/>
    <x v="1"/>
    <s v="Distributor"/>
    <s v="West"/>
    <s v="2026-08"/>
    <s v="Missing"/>
    <s v="Missing"/>
    <x v="1"/>
    <x v="2"/>
    <s v="2026-08"/>
  </r>
  <r>
    <s v="T0327"/>
    <d v="2026-09-25T00:00:00"/>
    <s v="A111"/>
    <s v="P03"/>
    <n v="10000"/>
    <x v="0"/>
    <s v="Retailer"/>
    <s v="West"/>
    <s v="2026-09"/>
    <s v="Missing"/>
    <s v="Missing"/>
    <x v="0"/>
    <x v="2"/>
    <s v="2026-09"/>
  </r>
  <r>
    <s v="T0328"/>
    <d v="2026-09-01T00:00:00"/>
    <s v="A133"/>
    <s v="P04"/>
    <n v="5000"/>
    <x v="0"/>
    <s v="Distributor"/>
    <s v="North"/>
    <s v="2026-09"/>
    <s v="Missing"/>
    <s v="Missing"/>
    <x v="0"/>
    <x v="5"/>
    <s v="2026-09"/>
  </r>
  <r>
    <s v="T0329"/>
    <d v="2026-08-06T00:00:00"/>
    <s v="A126"/>
    <s v="P05"/>
    <n v="5000"/>
    <x v="0"/>
    <s v="Retailer"/>
    <s v="South"/>
    <s v="2026-08"/>
    <s v="Missing"/>
    <s v="Missing"/>
    <x v="1"/>
    <x v="4"/>
    <s v="2026-08"/>
  </r>
  <r>
    <s v="T0330"/>
    <d v="2026-08-04T00:00:00"/>
    <s v="A104"/>
    <s v="P03"/>
    <n v="5000"/>
    <x v="1"/>
    <s v="Retailer"/>
    <s v="East"/>
    <s v="2026-08"/>
    <s v="Missing"/>
    <s v="Missing"/>
    <x v="1"/>
    <x v="2"/>
    <s v="2026-08"/>
  </r>
  <r>
    <s v="T0331"/>
    <d v="2026-08-19T00:00:00"/>
    <s v="A135"/>
    <s v="P01"/>
    <n v="500"/>
    <x v="0"/>
    <s v="Retailer"/>
    <s v="South"/>
    <s v="2026-08"/>
    <s v="Missing"/>
    <s v="Missing"/>
    <x v="1"/>
    <x v="0"/>
    <s v="2026-08"/>
  </r>
  <r>
    <s v="T0332"/>
    <d v="2026-09-16T00:00:00"/>
    <s v="A124"/>
    <s v="P04"/>
    <n v="2000"/>
    <x v="0"/>
    <s v="Distributor"/>
    <s v="North"/>
    <s v="2026-09"/>
    <s v="Missing"/>
    <s v="Missing"/>
    <x v="0"/>
    <x v="5"/>
    <s v="2026-09"/>
  </r>
  <r>
    <s v="T0333"/>
    <d v="2026-09-06T00:00:00"/>
    <s v="A136"/>
    <s v="P02"/>
    <n v="2000"/>
    <x v="0"/>
    <s v="Distributor"/>
    <s v="North"/>
    <s v="2026-09"/>
    <s v="Missing"/>
    <s v="Missing"/>
    <x v="0"/>
    <x v="3"/>
    <s v="2026-09"/>
  </r>
  <r>
    <s v="T0334"/>
    <d v="2026-08-25T00:00:00"/>
    <s v="A133"/>
    <s v="P04"/>
    <n v="20000"/>
    <x v="0"/>
    <s v="Distributor"/>
    <s v="North"/>
    <s v="2026-08"/>
    <s v="Missing"/>
    <s v="Missing"/>
    <x v="1"/>
    <x v="5"/>
    <s v="2026-08"/>
  </r>
  <r>
    <s v="T0335"/>
    <d v="2026-08-09T00:00:00"/>
    <s v="A107"/>
    <s v="P04"/>
    <n v="2000"/>
    <x v="0"/>
    <s v="Retailer"/>
    <s v="South"/>
    <s v="2026-08"/>
    <s v="Missing"/>
    <s v="Missing"/>
    <x v="1"/>
    <x v="5"/>
    <s v="2026-08"/>
  </r>
  <r>
    <s v="T0336"/>
    <d v="2026-09-18T00:00:00"/>
    <s v="A110"/>
    <s v="P02"/>
    <n v="10000"/>
    <x v="0"/>
    <s v="Distributor"/>
    <s v="North"/>
    <s v="2026-09"/>
    <s v="Missing"/>
    <s v="Missing"/>
    <x v="0"/>
    <x v="3"/>
    <s v="2026-09"/>
  </r>
  <r>
    <s v="T0337"/>
    <d v="2026-08-03T00:00:00"/>
    <s v="A103"/>
    <s v="P02"/>
    <n v="15000"/>
    <x v="0"/>
    <s v="Distributor"/>
    <s v="East"/>
    <s v="2026-08"/>
    <s v="Missing"/>
    <s v="Missing"/>
    <x v="1"/>
    <x v="3"/>
    <s v="2026-08"/>
  </r>
  <r>
    <s v="T0338"/>
    <d v="2026-08-10T00:00:00"/>
    <s v="A139"/>
    <s v="P05"/>
    <n v="750"/>
    <x v="0"/>
    <s v="Retailer"/>
    <s v="South"/>
    <s v="2026-08"/>
    <s v="Missing"/>
    <s v="Missing"/>
    <x v="1"/>
    <x v="4"/>
    <s v="2026-08"/>
  </r>
  <r>
    <s v="T0339"/>
    <d v="2026-08-11T00:00:00"/>
    <s v="A126"/>
    <s v="P05"/>
    <n v="15000"/>
    <x v="0"/>
    <s v="Retailer"/>
    <s v="South"/>
    <s v="2026-08"/>
    <s v="Missing"/>
    <s v="Missing"/>
    <x v="1"/>
    <x v="4"/>
    <s v="2026-08"/>
  </r>
  <r>
    <s v="T0340"/>
    <d v="2026-09-02T00:00:00"/>
    <s v="A133"/>
    <s v="P05"/>
    <n v="5000"/>
    <x v="1"/>
    <s v="Distributor"/>
    <s v="East"/>
    <s v="2026-09"/>
    <s v="Missing"/>
    <s v="Missing"/>
    <x v="0"/>
    <x v="4"/>
    <s v="2026-09"/>
  </r>
  <r>
    <s v="T0341"/>
    <d v="2026-09-22T00:00:00"/>
    <s v="A102"/>
    <s v="P03"/>
    <n v="2000"/>
    <x v="0"/>
    <s v="Distributor"/>
    <s v="South"/>
    <s v="2026-09"/>
    <s v="Missing"/>
    <s v="Missing"/>
    <x v="0"/>
    <x v="2"/>
    <s v="2026-09"/>
  </r>
  <r>
    <s v="T0342"/>
    <d v="2026-09-20T00:00:00"/>
    <s v="A999"/>
    <s v="P01"/>
    <n v="10000"/>
    <x v="0"/>
    <s v="Distributor"/>
    <s v="West"/>
    <s v="2026-09"/>
    <s v="Missing"/>
    <s v="Missing"/>
    <x v="0"/>
    <x v="0"/>
    <s v="2026-09"/>
  </r>
  <r>
    <s v="T0343"/>
    <d v="2026-09-16T00:00:00"/>
    <s v="A104"/>
    <s v="P05"/>
    <n v="5000"/>
    <x v="0"/>
    <s v="Retailer"/>
    <s v="East"/>
    <s v="2026-09"/>
    <s v="Missing"/>
    <s v="Missing"/>
    <x v="0"/>
    <x v="4"/>
    <s v="2026-09"/>
  </r>
  <r>
    <s v="T0344"/>
    <d v="2026-08-10T00:00:00"/>
    <s v="A116"/>
    <s v="P01"/>
    <n v="10000"/>
    <x v="0"/>
    <s v="Retailer"/>
    <s v="North"/>
    <s v="2026-08"/>
    <s v="Missing"/>
    <s v="Missing"/>
    <x v="1"/>
    <x v="0"/>
    <s v="2026-08"/>
  </r>
  <r>
    <s v="T0345"/>
    <d v="2026-08-29T00:00:00"/>
    <s v="A121"/>
    <s v="P04"/>
    <n v="750"/>
    <x v="0"/>
    <s v="Retailer"/>
    <s v="West"/>
    <s v="2026-08"/>
    <s v="Missing"/>
    <s v="Missing"/>
    <x v="1"/>
    <x v="5"/>
    <s v="2026-08"/>
  </r>
  <r>
    <s v="T0346"/>
    <d v="2026-08-27T00:00:00"/>
    <s v="A133"/>
    <s v="P05"/>
    <n v="5000"/>
    <x v="0"/>
    <s v="Retailer"/>
    <s v="West"/>
    <s v="2026-08"/>
    <s v="Missing"/>
    <s v="Missing"/>
    <x v="1"/>
    <x v="4"/>
    <s v="2026-08"/>
  </r>
  <r>
    <s v="T0347"/>
    <d v="2026-09-03T00:00:00"/>
    <s v="A114"/>
    <s v="P05"/>
    <n v="2000"/>
    <x v="0"/>
    <s v="Retailer"/>
    <s v="East"/>
    <s v="2026-09"/>
    <s v="Missing"/>
    <s v="Missing"/>
    <x v="0"/>
    <x v="4"/>
    <s v="2026-09"/>
  </r>
  <r>
    <s v="T0348"/>
    <d v="2026-08-21T00:00:00"/>
    <s v="A112"/>
    <s v="P04"/>
    <n v="7500"/>
    <x v="0"/>
    <s v="Retailer"/>
    <s v="South"/>
    <s v="2026-08"/>
    <s v="Missing"/>
    <s v="Missing"/>
    <x v="1"/>
    <x v="5"/>
    <s v="2026-08"/>
  </r>
  <r>
    <s v="T0349"/>
    <d v="2026-09-13T00:00:00"/>
    <m/>
    <s v="P06"/>
    <n v="1500"/>
    <x v="1"/>
    <s v="Distributor"/>
    <s v="West"/>
    <s v="2026-09"/>
    <s v="Missing"/>
    <s v="Missing"/>
    <x v="0"/>
    <x v="1"/>
    <s v="2026-09"/>
  </r>
  <r>
    <s v="T0350"/>
    <d v="2026-08-16T00:00:00"/>
    <s v="A118"/>
    <s v="P05"/>
    <n v="1500"/>
    <x v="0"/>
    <s v="Distributor"/>
    <s v="South"/>
    <s v="2026-08"/>
    <s v="Missing"/>
    <s v="Missing"/>
    <x v="1"/>
    <x v="4"/>
    <s v="2026-08"/>
  </r>
  <r>
    <s v="T0351"/>
    <d v="2026-09-15T00:00:00"/>
    <s v="A114"/>
    <s v="P06"/>
    <n v="15000"/>
    <x v="0"/>
    <s v="Distributor"/>
    <s v="East"/>
    <s v="2026-09"/>
    <s v="Missing"/>
    <s v="Missing"/>
    <x v="0"/>
    <x v="1"/>
    <s v="2026-09"/>
  </r>
  <r>
    <s v="T0352"/>
    <d v="2026-08-23T00:00:00"/>
    <s v="A136"/>
    <s v="P06"/>
    <n v="1500"/>
    <x v="0"/>
    <s v="Retailer"/>
    <s v="East"/>
    <s v="2026-08"/>
    <s v="Missing"/>
    <s v="Missing"/>
    <x v="1"/>
    <x v="1"/>
    <s v="2026-08"/>
  </r>
  <r>
    <s v="T0353"/>
    <d v="2026-09-27T00:00:00"/>
    <s v="A126"/>
    <s v="P03"/>
    <n v="20000"/>
    <x v="0"/>
    <s v="Distributor"/>
    <s v="North"/>
    <s v="2026-09"/>
    <s v="Missing"/>
    <s v="Missing"/>
    <x v="0"/>
    <x v="2"/>
    <s v="2026-09"/>
  </r>
  <r>
    <s v="T0354"/>
    <d v="2026-08-19T00:00:00"/>
    <s v="A106"/>
    <s v="P03"/>
    <n v="5000"/>
    <x v="0"/>
    <s v="Retailer"/>
    <s v="East"/>
    <s v="2026-08"/>
    <s v="Missing"/>
    <s v="Missing"/>
    <x v="1"/>
    <x v="2"/>
    <s v="2026-08"/>
  </r>
  <r>
    <s v="T0355"/>
    <d v="2026-08-14T00:00:00"/>
    <s v="A113"/>
    <s v="P05"/>
    <n v="1500"/>
    <x v="0"/>
    <s v="Retailer"/>
    <s v="South"/>
    <s v="2026-08"/>
    <s v="Missing"/>
    <s v="Missing"/>
    <x v="1"/>
    <x v="4"/>
    <s v="2026-08"/>
  </r>
  <r>
    <s v="T0356"/>
    <d v="2026-08-09T00:00:00"/>
    <s v="A107"/>
    <s v="P05"/>
    <n v="15000"/>
    <x v="1"/>
    <s v="Retailer"/>
    <s v="West"/>
    <s v="2026-08"/>
    <s v="Missing"/>
    <s v="Missing"/>
    <x v="1"/>
    <x v="4"/>
    <s v="2026-08"/>
  </r>
  <r>
    <s v="T0357"/>
    <d v="2026-08-04T00:00:00"/>
    <s v="A134"/>
    <s v="P02"/>
    <n v="12500"/>
    <x v="0"/>
    <s v="Retailer"/>
    <s v="North"/>
    <s v="2026-08"/>
    <s v="Missing"/>
    <s v="Missing"/>
    <x v="1"/>
    <x v="3"/>
    <s v="2026-08"/>
  </r>
  <r>
    <s v="T0358"/>
    <d v="2026-08-27T00:00:00"/>
    <s v="A122"/>
    <s v="P06"/>
    <n v="5000"/>
    <x v="0"/>
    <s v="Retailer"/>
    <s v="West"/>
    <s v="2026-08"/>
    <s v="Missing"/>
    <s v="Missing"/>
    <x v="1"/>
    <x v="1"/>
    <s v="2026-08"/>
  </r>
  <r>
    <s v="T0359"/>
    <d v="2026-08-01T00:00:00"/>
    <s v="A136"/>
    <s v="P02"/>
    <n v="2500"/>
    <x v="0"/>
    <s v="Distributor"/>
    <s v="West"/>
    <s v="2026-08"/>
    <s v="Missing"/>
    <s v="Missing"/>
    <x v="1"/>
    <x v="3"/>
    <s v="2026-08"/>
  </r>
  <r>
    <s v="T0360"/>
    <d v="2026-09-18T00:00:00"/>
    <s v="A119"/>
    <s v="P03"/>
    <n v="1500"/>
    <x v="0"/>
    <s v="Retailer"/>
    <s v="West"/>
    <s v="2026-09"/>
    <s v="Missing"/>
    <s v="Missing"/>
    <x v="0"/>
    <x v="2"/>
    <s v="2026-09"/>
  </r>
  <r>
    <s v="T0361"/>
    <d v="2026-09-04T00:00:00"/>
    <s v="A103"/>
    <s v="P02"/>
    <n v="2500"/>
    <x v="0"/>
    <s v="Retailer"/>
    <s v="East"/>
    <s v="2026-09"/>
    <s v="Missing"/>
    <s v="Missing"/>
    <x v="0"/>
    <x v="3"/>
    <s v="2026-09"/>
  </r>
  <r>
    <s v="T0362"/>
    <d v="2026-09-20T00:00:00"/>
    <s v="A132"/>
    <s v="P02"/>
    <n v="15000"/>
    <x v="0"/>
    <s v="Retailer"/>
    <s v="North"/>
    <s v="2026-09"/>
    <s v="Missing"/>
    <s v="Missing"/>
    <x v="0"/>
    <x v="3"/>
    <s v="2026-09"/>
  </r>
  <r>
    <s v="T0363"/>
    <d v="2026-08-20T00:00:00"/>
    <s v="A137"/>
    <s v="P05"/>
    <n v="500"/>
    <x v="0"/>
    <s v="Distributor"/>
    <s v="East"/>
    <s v="2026-08"/>
    <s v="Missing"/>
    <s v="Missing"/>
    <x v="1"/>
    <x v="4"/>
    <s v="2026-08"/>
  </r>
  <r>
    <s v="T0364"/>
    <d v="2026-09-11T00:00:00"/>
    <s v="A135"/>
    <s v="P05"/>
    <n v="5000"/>
    <x v="0"/>
    <s v="Retailer"/>
    <s v="East"/>
    <s v="2026-09"/>
    <s v="Missing"/>
    <s v="Missing"/>
    <x v="0"/>
    <x v="4"/>
    <s v="2026-09"/>
  </r>
  <r>
    <s v="T0365"/>
    <d v="2026-08-18T00:00:00"/>
    <s v="A113"/>
    <s v="P01"/>
    <n v="2000"/>
    <x v="0"/>
    <s v="Retailer"/>
    <s v="East"/>
    <s v="2026-08"/>
    <s v="Missing"/>
    <s v="Missing"/>
    <x v="1"/>
    <x v="0"/>
    <s v="2026-08"/>
  </r>
  <r>
    <s v="T0366"/>
    <d v="2026-09-11T00:00:00"/>
    <s v="A117"/>
    <s v="P06"/>
    <n v="750"/>
    <x v="0"/>
    <s v="Retailer"/>
    <s v="South"/>
    <s v="2026-09"/>
    <s v="Missing"/>
    <s v="Missing"/>
    <x v="0"/>
    <x v="1"/>
    <s v="2026-09"/>
  </r>
  <r>
    <s v="T0367"/>
    <d v="2026-09-20T00:00:00"/>
    <s v="A119"/>
    <s v="P05"/>
    <n v="12500"/>
    <x v="0"/>
    <s v="Retailer"/>
    <s v="East"/>
    <s v="2026-09"/>
    <s v="Missing"/>
    <s v="Missing"/>
    <x v="0"/>
    <x v="4"/>
    <s v="2026-09"/>
  </r>
  <r>
    <s v="T0368"/>
    <d v="2026-09-22T00:00:00"/>
    <s v="A128"/>
    <s v="P05"/>
    <n v="2000"/>
    <x v="0"/>
    <s v="Distributor"/>
    <s v="North"/>
    <s v="2026-09"/>
    <s v="Missing"/>
    <s v="Missing"/>
    <x v="0"/>
    <x v="4"/>
    <s v="2026-09"/>
  </r>
  <r>
    <s v="T0369"/>
    <d v="2026-08-12T00:00:00"/>
    <s v="A109"/>
    <s v="P04"/>
    <n v="2000"/>
    <x v="0"/>
    <s v="Retailer"/>
    <s v="South"/>
    <s v="2026-08"/>
    <s v="Missing"/>
    <s v="Missing"/>
    <x v="1"/>
    <x v="5"/>
    <s v="2026-08"/>
  </r>
  <r>
    <s v="T0370"/>
    <d v="2026-08-25T00:00:00"/>
    <s v="A116"/>
    <s v="P04"/>
    <n v="20000"/>
    <x v="0"/>
    <s v="Distributor"/>
    <s v="South"/>
    <s v="2026-08"/>
    <s v="Missing"/>
    <s v="Missing"/>
    <x v="1"/>
    <x v="5"/>
    <s v="2026-08"/>
  </r>
  <r>
    <s v="T0371"/>
    <d v="2026-09-07T00:00:00"/>
    <s v="A137"/>
    <s v="P01"/>
    <n v="1500"/>
    <x v="0"/>
    <s v="Retailer"/>
    <s v="West"/>
    <s v="2026-09"/>
    <s v="Missing"/>
    <s v="Missing"/>
    <x v="0"/>
    <x v="0"/>
    <s v="2026-09"/>
  </r>
  <r>
    <s v="T0372"/>
    <d v="2026-08-04T00:00:00"/>
    <s v="A108"/>
    <s v="P04"/>
    <n v="1500"/>
    <x v="0"/>
    <s v="Distributor"/>
    <s v="South"/>
    <s v="2026-08"/>
    <s v="Missing"/>
    <s v="Missing"/>
    <x v="1"/>
    <x v="5"/>
    <s v="2026-08"/>
  </r>
  <r>
    <s v="T0373"/>
    <d v="2026-09-14T00:00:00"/>
    <s v="A108"/>
    <s v="P06"/>
    <n v="1500"/>
    <x v="0"/>
    <s v="Retailer"/>
    <s v="West"/>
    <s v="2026-09"/>
    <s v="Missing"/>
    <s v="Missing"/>
    <x v="0"/>
    <x v="1"/>
    <s v="2026-09"/>
  </r>
  <r>
    <s v="T0374"/>
    <d v="2026-08-15T00:00:00"/>
    <s v="A109"/>
    <s v="P04"/>
    <n v="750"/>
    <x v="0"/>
    <s v="Retailer"/>
    <s v="South"/>
    <s v="2026-08"/>
    <s v="Missing"/>
    <s v="Missing"/>
    <x v="1"/>
    <x v="5"/>
    <s v="2026-08"/>
  </r>
  <r>
    <s v="T0375"/>
    <d v="2026-08-27T00:00:00"/>
    <s v="A136"/>
    <s v="P04"/>
    <n v="20000"/>
    <x v="0"/>
    <s v="Retailer"/>
    <s v="West"/>
    <s v="2026-08"/>
    <s v="Missing"/>
    <s v="Missing"/>
    <x v="1"/>
    <x v="5"/>
    <s v="2026-08"/>
  </r>
  <r>
    <s v="T0376"/>
    <d v="2026-09-18T00:00:00"/>
    <s v="A116"/>
    <s v="P06"/>
    <n v="20000"/>
    <x v="1"/>
    <s v="Retailer"/>
    <s v="East"/>
    <s v="2026-09"/>
    <s v="Missing"/>
    <s v="Missing"/>
    <x v="0"/>
    <x v="1"/>
    <s v="2026-09"/>
  </r>
  <r>
    <s v="T0377"/>
    <d v="2026-09-03T00:00:00"/>
    <s v="A124"/>
    <s v="P01"/>
    <n v="10000"/>
    <x v="0"/>
    <s v="Retailer"/>
    <s v="West"/>
    <s v="2026-09"/>
    <s v="Missing"/>
    <s v="Missing"/>
    <x v="0"/>
    <x v="0"/>
    <s v="2026-09"/>
  </r>
  <r>
    <s v="T0378"/>
    <d v="2026-09-06T00:00:00"/>
    <s v="A135"/>
    <s v="P02"/>
    <n v="750"/>
    <x v="0"/>
    <s v="Retailer"/>
    <s v="East"/>
    <s v="2026-09"/>
    <s v="Missing"/>
    <s v="Missing"/>
    <x v="0"/>
    <x v="3"/>
    <s v="2026-09"/>
  </r>
  <r>
    <s v="T0379"/>
    <d v="2026-08-08T00:00:00"/>
    <s v="A114"/>
    <s v="P06"/>
    <n v="10000"/>
    <x v="0"/>
    <s v="Retailer"/>
    <s v="East"/>
    <s v="2026-08"/>
    <s v="Missing"/>
    <s v="Missing"/>
    <x v="1"/>
    <x v="1"/>
    <s v="2026-08"/>
  </r>
  <r>
    <s v="T0380"/>
    <d v="2026-09-21T00:00:00"/>
    <s v="A104"/>
    <s v="P04"/>
    <n v="750"/>
    <x v="0"/>
    <s v="Distributor"/>
    <s v="East"/>
    <s v="2026-09"/>
    <s v="Missing"/>
    <s v="Missing"/>
    <x v="0"/>
    <x v="5"/>
    <s v="2026-09"/>
  </r>
  <r>
    <s v="T0381"/>
    <d v="2026-09-06T00:00:00"/>
    <s v="A104"/>
    <s v="P05"/>
    <n v="5000"/>
    <x v="0"/>
    <s v="Retailer"/>
    <s v="North"/>
    <s v="2026-09"/>
    <s v="Missing"/>
    <s v="Missing"/>
    <x v="0"/>
    <x v="4"/>
    <s v="2026-09"/>
  </r>
  <r>
    <s v="T0382"/>
    <d v="2026-08-26T00:00:00"/>
    <s v="A117"/>
    <s v="P01"/>
    <n v="15000"/>
    <x v="0"/>
    <s v="Retailer"/>
    <s v="North"/>
    <s v="2026-08"/>
    <s v="Missing"/>
    <s v="Missing"/>
    <x v="1"/>
    <x v="0"/>
    <s v="2026-08"/>
  </r>
  <r>
    <s v="T0383"/>
    <d v="2026-08-03T00:00:00"/>
    <s v="A128"/>
    <s v="P03"/>
    <n v="15000"/>
    <x v="0"/>
    <s v="Retailer"/>
    <s v="North"/>
    <s v="2026-08"/>
    <s v="Missing"/>
    <s v="Missing"/>
    <x v="1"/>
    <x v="2"/>
    <s v="2026-08"/>
  </r>
  <r>
    <s v="T0384"/>
    <d v="2026-09-29T00:00:00"/>
    <s v="A105"/>
    <s v="P04"/>
    <n v="250"/>
    <x v="0"/>
    <s v="Distributor"/>
    <s v="West"/>
    <s v="2026-09"/>
    <s v="Missing"/>
    <s v="Missing"/>
    <x v="0"/>
    <x v="5"/>
    <s v="2026-09"/>
  </r>
  <r>
    <s v="T0385"/>
    <d v="2026-09-19T00:00:00"/>
    <s v="A109"/>
    <s v="P06"/>
    <n v="15000"/>
    <x v="0"/>
    <s v="Distributor"/>
    <s v="East"/>
    <s v="2026-09"/>
    <s v="Missing"/>
    <s v="Missing"/>
    <x v="0"/>
    <x v="1"/>
    <s v="2026-09"/>
  </r>
  <r>
    <s v="T0386"/>
    <d v="2026-08-29T00:00:00"/>
    <s v="A125"/>
    <s v="P04"/>
    <n v="500"/>
    <x v="0"/>
    <s v="Retailer"/>
    <s v="South"/>
    <s v="2026-08"/>
    <s v="Missing"/>
    <s v="Missing"/>
    <x v="1"/>
    <x v="5"/>
    <s v="2026-08"/>
  </r>
  <r>
    <s v="T0387"/>
    <d v="2026-08-08T00:00:00"/>
    <s v="A112"/>
    <s v="P05"/>
    <n v="2500"/>
    <x v="0"/>
    <s v="Retailer"/>
    <s v="West"/>
    <s v="2026-08"/>
    <s v="Missing"/>
    <s v="Missing"/>
    <x v="1"/>
    <x v="4"/>
    <s v="2026-08"/>
  </r>
  <r>
    <s v="T0388"/>
    <d v="2026-09-23T00:00:00"/>
    <s v="A101"/>
    <s v="P01"/>
    <n v="1500"/>
    <x v="0"/>
    <s v="Retailer"/>
    <s v="East"/>
    <s v="2026-09"/>
    <s v="Missing"/>
    <s v="Missing"/>
    <x v="0"/>
    <x v="0"/>
    <s v="2026-09"/>
  </r>
  <r>
    <s v="T0389"/>
    <d v="2026-09-04T00:00:00"/>
    <s v="A125"/>
    <s v="P02"/>
    <n v="1000"/>
    <x v="0"/>
    <s v="Distributor"/>
    <s v="West"/>
    <s v="2026-09"/>
    <s v="Missing"/>
    <s v="Missing"/>
    <x v="0"/>
    <x v="3"/>
    <s v="2026-09"/>
  </r>
  <r>
    <s v="T0390"/>
    <d v="2026-08-18T00:00:00"/>
    <s v="A113"/>
    <s v="P06"/>
    <n v="20000"/>
    <x v="0"/>
    <s v="Retailer"/>
    <s v="East"/>
    <s v="2026-08"/>
    <s v="Missing"/>
    <s v="Missing"/>
    <x v="1"/>
    <x v="1"/>
    <s v="2026-08"/>
  </r>
  <r>
    <s v="T0391"/>
    <d v="2026-09-09T00:00:00"/>
    <s v="A102"/>
    <s v="P02"/>
    <n v="1000"/>
    <x v="0"/>
    <s v="Retailer"/>
    <s v="North"/>
    <s v="2026-09"/>
    <s v="Missing"/>
    <s v="Missing"/>
    <x v="0"/>
    <x v="3"/>
    <s v="2026-09"/>
  </r>
  <r>
    <s v="T0392"/>
    <d v="2026-08-29T00:00:00"/>
    <s v="A139"/>
    <s v="P06"/>
    <n v="15000"/>
    <x v="0"/>
    <s v="Retailer"/>
    <s v="North"/>
    <s v="2026-08"/>
    <s v="Missing"/>
    <s v="Missing"/>
    <x v="1"/>
    <x v="1"/>
    <s v="2026-08"/>
  </r>
  <r>
    <s v="T0393"/>
    <d v="2026-08-26T00:00:00"/>
    <s v="A129"/>
    <s v="P02"/>
    <n v="7500"/>
    <x v="0"/>
    <s v="Retailer"/>
    <s v="West"/>
    <s v="2026-08"/>
    <s v="Missing"/>
    <s v="Missing"/>
    <x v="1"/>
    <x v="3"/>
    <s v="2026-08"/>
  </r>
  <r>
    <s v="T0394"/>
    <d v="2026-09-02T00:00:00"/>
    <s v="A119"/>
    <s v="P02"/>
    <n v="15000"/>
    <x v="1"/>
    <s v="Distributor"/>
    <s v="South"/>
    <s v="2026-09"/>
    <s v="Missing"/>
    <s v="Missing"/>
    <x v="0"/>
    <x v="3"/>
    <s v="2026-09"/>
  </r>
  <r>
    <s v="T0395"/>
    <d v="2026-08-16T00:00:00"/>
    <s v="A120"/>
    <s v="P02"/>
    <n v="12500"/>
    <x v="0"/>
    <s v="Retailer"/>
    <s v="East"/>
    <s v="2026-08"/>
    <s v="Missing"/>
    <s v="Missing"/>
    <x v="1"/>
    <x v="3"/>
    <s v="2026-08"/>
  </r>
  <r>
    <s v="T0396"/>
    <d v="2026-08-20T00:00:00"/>
    <s v="A118"/>
    <s v="P01"/>
    <n v="7500"/>
    <x v="1"/>
    <s v="Retailer"/>
    <s v="West"/>
    <s v="2026-08"/>
    <s v="Missing"/>
    <s v="Missing"/>
    <x v="1"/>
    <x v="0"/>
    <s v="2026-08"/>
  </r>
  <r>
    <s v="T0397"/>
    <d v="2026-09-10T00:00:00"/>
    <s v="A128"/>
    <s v="P05"/>
    <n v="5000"/>
    <x v="0"/>
    <s v="Distributor"/>
    <s v="East"/>
    <s v="2026-09"/>
    <s v="Missing"/>
    <s v="Missing"/>
    <x v="0"/>
    <x v="4"/>
    <s v="2026-09"/>
  </r>
  <r>
    <s v="T0398"/>
    <d v="2026-09-20T00:00:00"/>
    <s v="A134"/>
    <s v="P03"/>
    <n v="15000"/>
    <x v="0"/>
    <s v="Distributor"/>
    <s v="West"/>
    <s v="2026-09"/>
    <s v="Missing"/>
    <s v="Missing"/>
    <x v="0"/>
    <x v="2"/>
    <s v="2026-09"/>
  </r>
  <r>
    <s v="T0399"/>
    <d v="2026-08-20T00:00:00"/>
    <s v="A125"/>
    <s v="P02"/>
    <n v="20000"/>
    <x v="0"/>
    <s v="Distributor"/>
    <s v="West"/>
    <s v="2026-08"/>
    <s v="Missing"/>
    <s v="Missing"/>
    <x v="1"/>
    <x v="3"/>
    <s v="2026-08"/>
  </r>
  <r>
    <s v="T0400"/>
    <d v="2026-09-24T00:00:00"/>
    <s v="A115"/>
    <s v="P03"/>
    <n v="15000"/>
    <x v="0"/>
    <s v="Distributor"/>
    <s v="North"/>
    <s v="2026-09"/>
    <s v="Missing"/>
    <s v="Missing"/>
    <x v="0"/>
    <x v="2"/>
    <s v="2026-09"/>
  </r>
  <r>
    <s v="T0401"/>
    <d v="2026-09-05T00:00:00"/>
    <s v="A127"/>
    <s v="P04"/>
    <n v="7500"/>
    <x v="0"/>
    <s v="Retailer"/>
    <s v="East"/>
    <s v="2026-09"/>
    <s v="Missing"/>
    <s v="Missing"/>
    <x v="0"/>
    <x v="5"/>
    <s v="2026-09"/>
  </r>
  <r>
    <s v="T0402"/>
    <d v="2026-08-16T00:00:00"/>
    <s v="A117"/>
    <s v="P02"/>
    <n v="2000"/>
    <x v="0"/>
    <s v="Distributor"/>
    <s v="South"/>
    <s v="2026-08"/>
    <s v="Missing"/>
    <s v="Missing"/>
    <x v="1"/>
    <x v="3"/>
    <s v="2026-08"/>
  </r>
  <r>
    <s v="T0403"/>
    <d v="2026-08-06T00:00:00"/>
    <s v="A135"/>
    <s v="P06"/>
    <n v="1000"/>
    <x v="0"/>
    <s v="Distributor"/>
    <s v="East"/>
    <s v="2026-08"/>
    <s v="Missing"/>
    <s v="Missing"/>
    <x v="1"/>
    <x v="1"/>
    <s v="2026-08"/>
  </r>
  <r>
    <s v="T0404"/>
    <d v="2026-09-13T00:00:00"/>
    <s v="A139"/>
    <s v="P05"/>
    <n v="250"/>
    <x v="0"/>
    <s v="Retailer"/>
    <s v="West"/>
    <s v="2026-09"/>
    <s v="Missing"/>
    <s v="Missing"/>
    <x v="0"/>
    <x v="4"/>
    <s v="2026-09"/>
  </r>
  <r>
    <s v="T0405"/>
    <d v="2026-08-31T00:00:00"/>
    <s v="A114"/>
    <s v="P03"/>
    <n v="1500"/>
    <x v="0"/>
    <s v="Retailer"/>
    <s v="West"/>
    <s v="2026-08"/>
    <s v="Missing"/>
    <s v="Missing"/>
    <x v="1"/>
    <x v="2"/>
    <s v="2026-08"/>
  </r>
  <r>
    <s v="T0406"/>
    <d v="2026-09-17T00:00:00"/>
    <s v="A108"/>
    <s v="P06"/>
    <n v="20000"/>
    <x v="0"/>
    <s v="Retailer"/>
    <s v="West"/>
    <s v="2026-09"/>
    <s v="Missing"/>
    <s v="Missing"/>
    <x v="0"/>
    <x v="1"/>
    <s v="2026-09"/>
  </r>
  <r>
    <s v="T0407"/>
    <d v="2026-08-26T00:00:00"/>
    <s v="A116"/>
    <s v="P05"/>
    <n v="2000"/>
    <x v="0"/>
    <s v="Distributor"/>
    <s v="East"/>
    <s v="2026-08"/>
    <s v="Missing"/>
    <s v="Missing"/>
    <x v="1"/>
    <x v="4"/>
    <s v="2026-08"/>
  </r>
  <r>
    <s v="T0408"/>
    <d v="2026-09-04T00:00:00"/>
    <m/>
    <s v="P03"/>
    <n v="1500"/>
    <x v="0"/>
    <s v="Distributor"/>
    <s v="East"/>
    <s v="2026-09"/>
    <s v="Missing"/>
    <s v="Missing"/>
    <x v="0"/>
    <x v="2"/>
    <s v="2026-09"/>
  </r>
  <r>
    <s v="T0409"/>
    <d v="2026-08-30T00:00:00"/>
    <s v="A107"/>
    <s v="P06"/>
    <n v="5000"/>
    <x v="0"/>
    <s v="Retailer"/>
    <s v="South"/>
    <s v="2026-08"/>
    <s v="Missing"/>
    <s v="Missing"/>
    <x v="1"/>
    <x v="1"/>
    <s v="2026-08"/>
  </r>
  <r>
    <s v="T0410"/>
    <d v="2026-08-21T00:00:00"/>
    <s v="A127"/>
    <s v="P01"/>
    <n v="10000"/>
    <x v="0"/>
    <s v="Retailer"/>
    <s v="West"/>
    <s v="2026-08"/>
    <s v="Missing"/>
    <s v="Missing"/>
    <x v="1"/>
    <x v="0"/>
    <s v="2026-08"/>
  </r>
  <r>
    <s v="T0411"/>
    <d v="2026-08-02T00:00:00"/>
    <s v="A117"/>
    <s v="P05"/>
    <n v="10000"/>
    <x v="1"/>
    <s v="Retailer"/>
    <s v="East"/>
    <s v="2026-08"/>
    <s v="Missing"/>
    <s v="Missing"/>
    <x v="1"/>
    <x v="4"/>
    <s v="2026-08"/>
  </r>
  <r>
    <s v="T0412"/>
    <d v="2026-08-19T00:00:00"/>
    <s v="A110"/>
    <s v="P02"/>
    <n v="2000"/>
    <x v="0"/>
    <s v="Distributor"/>
    <s v="West"/>
    <s v="2026-08"/>
    <s v="Missing"/>
    <s v="Missing"/>
    <x v="1"/>
    <x v="3"/>
    <s v="2026-08"/>
  </r>
  <r>
    <s v="T0413"/>
    <d v="2026-09-01T00:00:00"/>
    <s v="A136"/>
    <s v="P06"/>
    <n v="12500"/>
    <x v="0"/>
    <s v="Distributor"/>
    <s v="East"/>
    <s v="2026-09"/>
    <s v="Missing"/>
    <s v="Missing"/>
    <x v="0"/>
    <x v="1"/>
    <s v="2026-09"/>
  </r>
  <r>
    <s v="T0414"/>
    <d v="2026-09-16T00:00:00"/>
    <m/>
    <s v="P06"/>
    <n v="5000"/>
    <x v="0"/>
    <s v="Retailer"/>
    <s v="South"/>
    <s v="2026-09"/>
    <s v="Missing"/>
    <s v="Missing"/>
    <x v="0"/>
    <x v="1"/>
    <s v="2026-09"/>
  </r>
  <r>
    <s v="T0415"/>
    <d v="2026-08-11T00:00:00"/>
    <s v="A109"/>
    <s v="P06"/>
    <n v="7500"/>
    <x v="0"/>
    <s v="Retailer"/>
    <s v="North"/>
    <s v="2026-08"/>
    <s v="Missing"/>
    <s v="Missing"/>
    <x v="1"/>
    <x v="1"/>
    <s v="2026-08"/>
  </r>
  <r>
    <s v="T0416"/>
    <d v="2026-09-03T00:00:00"/>
    <s v="A103"/>
    <s v="P01"/>
    <n v="12500"/>
    <x v="0"/>
    <s v="Retailer"/>
    <s v="East"/>
    <s v="2026-09"/>
    <s v="Missing"/>
    <s v="Missing"/>
    <x v="0"/>
    <x v="0"/>
    <s v="2026-09"/>
  </r>
  <r>
    <s v="T0417"/>
    <d v="2026-08-09T00:00:00"/>
    <s v="A999"/>
    <s v="P02"/>
    <n v="500"/>
    <x v="0"/>
    <s v="Retailer"/>
    <s v="West"/>
    <s v="2026-08"/>
    <s v="Missing"/>
    <s v="Missing"/>
    <x v="1"/>
    <x v="3"/>
    <s v="2026-08"/>
  </r>
  <r>
    <s v="T0418"/>
    <d v="2026-09-02T00:00:00"/>
    <s v="A130"/>
    <s v="P03"/>
    <n v="250"/>
    <x v="1"/>
    <s v="Retailer"/>
    <s v="East"/>
    <s v="2026-09"/>
    <s v="Missing"/>
    <s v="Missing"/>
    <x v="0"/>
    <x v="2"/>
    <s v="2026-09"/>
  </r>
  <r>
    <s v="T0419"/>
    <d v="2026-09-12T00:00:00"/>
    <s v="A132"/>
    <s v="P01"/>
    <n v="250"/>
    <x v="0"/>
    <s v="Retailer"/>
    <s v="East"/>
    <s v="2026-09"/>
    <s v="Missing"/>
    <s v="Missing"/>
    <x v="0"/>
    <x v="0"/>
    <s v="2026-09"/>
  </r>
  <r>
    <s v="T0420"/>
    <d v="2026-08-01T00:00:00"/>
    <s v="A102"/>
    <s v="P05"/>
    <n v="15000"/>
    <x v="0"/>
    <s v="Retailer"/>
    <s v="South"/>
    <s v="2026-08"/>
    <s v="Missing"/>
    <s v="Missing"/>
    <x v="1"/>
    <x v="4"/>
    <s v="2026-08"/>
  </r>
  <r>
    <s v="T0421"/>
    <d v="2026-08-02T00:00:00"/>
    <s v="A133"/>
    <s v="P06"/>
    <n v="12500"/>
    <x v="0"/>
    <s v="Retailer"/>
    <s v="North"/>
    <s v="2026-08"/>
    <s v="Missing"/>
    <s v="Missing"/>
    <x v="1"/>
    <x v="1"/>
    <s v="2026-08"/>
  </r>
  <r>
    <s v="T0422"/>
    <d v="2026-09-28T00:00:00"/>
    <s v="A107"/>
    <s v="P05"/>
    <n v="750"/>
    <x v="0"/>
    <s v="Retailer"/>
    <s v="South"/>
    <s v="2026-09"/>
    <s v="Missing"/>
    <s v="Missing"/>
    <x v="0"/>
    <x v="4"/>
    <s v="2026-09"/>
  </r>
  <r>
    <s v="T0423"/>
    <d v="2026-09-22T00:00:00"/>
    <s v="A123"/>
    <s v="P03"/>
    <n v="20000"/>
    <x v="0"/>
    <s v="Retailer"/>
    <s v="South"/>
    <s v="2026-09"/>
    <s v="Missing"/>
    <s v="Missing"/>
    <x v="0"/>
    <x v="2"/>
    <s v="2026-09"/>
  </r>
  <r>
    <s v="T0424"/>
    <d v="2026-08-26T00:00:00"/>
    <s v="A130"/>
    <s v="P05"/>
    <n v="1000"/>
    <x v="0"/>
    <s v="Distributor"/>
    <s v="North"/>
    <s v="2026-08"/>
    <s v="Missing"/>
    <s v="Missing"/>
    <x v="1"/>
    <x v="4"/>
    <s v="2026-08"/>
  </r>
  <r>
    <s v="T0425"/>
    <d v="2026-09-11T00:00:00"/>
    <m/>
    <s v="P01"/>
    <n v="500"/>
    <x v="0"/>
    <s v="Distributor"/>
    <s v="East"/>
    <s v="2026-09"/>
    <s v="Missing"/>
    <s v="Missing"/>
    <x v="0"/>
    <x v="0"/>
    <s v="2026-09"/>
  </r>
  <r>
    <s v="T0426"/>
    <d v="2026-09-05T00:00:00"/>
    <s v="A131"/>
    <s v="P01"/>
    <n v="12500"/>
    <x v="0"/>
    <s v="Retailer"/>
    <s v="West"/>
    <s v="2026-09"/>
    <s v="Missing"/>
    <s v="Missing"/>
    <x v="0"/>
    <x v="0"/>
    <s v="2026-09"/>
  </r>
  <r>
    <s v="T0427"/>
    <d v="2026-08-06T00:00:00"/>
    <s v="A132"/>
    <s v="P04"/>
    <n v="12500"/>
    <x v="0"/>
    <s v="Retailer"/>
    <s v="North"/>
    <s v="2026-08"/>
    <s v="Missing"/>
    <s v="Missing"/>
    <x v="1"/>
    <x v="5"/>
    <s v="2026-08"/>
  </r>
  <r>
    <s v="T0428"/>
    <d v="2026-09-27T00:00:00"/>
    <s v="A134"/>
    <s v="P01"/>
    <n v="1000"/>
    <x v="0"/>
    <s v="Retailer"/>
    <s v="East"/>
    <s v="2026-09"/>
    <s v="Missing"/>
    <s v="Missing"/>
    <x v="0"/>
    <x v="0"/>
    <s v="2026-09"/>
  </r>
  <r>
    <s v="T0429"/>
    <d v="2026-08-18T00:00:00"/>
    <s v="A103"/>
    <s v="P01"/>
    <n v="12500"/>
    <x v="0"/>
    <s v="Retailer"/>
    <s v="North"/>
    <s v="2026-08"/>
    <s v="Missing"/>
    <s v="Missing"/>
    <x v="1"/>
    <x v="0"/>
    <s v="2026-08"/>
  </r>
  <r>
    <s v="T0430"/>
    <d v="2026-08-12T00:00:00"/>
    <s v="A121"/>
    <s v="P01"/>
    <n v="1000"/>
    <x v="1"/>
    <s v="Retailer"/>
    <s v="East"/>
    <s v="2026-08"/>
    <s v="Missing"/>
    <s v="Missing"/>
    <x v="1"/>
    <x v="0"/>
    <s v="2026-08"/>
  </r>
  <r>
    <s v="T0431"/>
    <d v="2026-09-29T00:00:00"/>
    <s v="A105"/>
    <s v="P03"/>
    <n v="750"/>
    <x v="1"/>
    <s v="Retailer"/>
    <s v="East"/>
    <s v="2026-09"/>
    <s v="Missing"/>
    <s v="Missing"/>
    <x v="0"/>
    <x v="2"/>
    <s v="2026-09"/>
  </r>
  <r>
    <s v="T0432"/>
    <d v="2026-09-13T00:00:00"/>
    <s v="A135"/>
    <s v="P03"/>
    <n v="2500"/>
    <x v="0"/>
    <s v="Retailer"/>
    <s v="North"/>
    <s v="2026-09"/>
    <s v="Missing"/>
    <s v="Missing"/>
    <x v="0"/>
    <x v="2"/>
    <s v="2026-09"/>
  </r>
  <r>
    <s v="T0433"/>
    <d v="2026-09-02T00:00:00"/>
    <s v="A123"/>
    <s v="P01"/>
    <n v="500"/>
    <x v="0"/>
    <s v="Retailer"/>
    <s v="North"/>
    <s v="2026-09"/>
    <s v="Missing"/>
    <s v="Missing"/>
    <x v="0"/>
    <x v="0"/>
    <s v="2026-09"/>
  </r>
  <r>
    <s v="T0434"/>
    <d v="2026-08-22T00:00:00"/>
    <s v="A139"/>
    <s v="P05"/>
    <n v="10000"/>
    <x v="0"/>
    <s v="Distributor"/>
    <s v="North"/>
    <s v="2026-08"/>
    <s v="Missing"/>
    <s v="Missing"/>
    <x v="1"/>
    <x v="4"/>
    <s v="2026-08"/>
  </r>
  <r>
    <s v="T0435"/>
    <d v="2026-09-10T00:00:00"/>
    <s v="A118"/>
    <s v="P04"/>
    <n v="5000"/>
    <x v="0"/>
    <s v="Distributor"/>
    <s v="East"/>
    <s v="2026-09"/>
    <s v="Missing"/>
    <s v="Missing"/>
    <x v="0"/>
    <x v="5"/>
    <s v="2026-09"/>
  </r>
  <r>
    <s v="T0436"/>
    <d v="2026-08-28T00:00:00"/>
    <s v="A112"/>
    <s v="P06"/>
    <n v="10000"/>
    <x v="0"/>
    <s v="Retailer"/>
    <s v="South"/>
    <s v="2026-08"/>
    <s v="Missing"/>
    <s v="Missing"/>
    <x v="1"/>
    <x v="1"/>
    <s v="2026-08"/>
  </r>
  <r>
    <s v="T0437"/>
    <d v="2026-09-21T00:00:00"/>
    <s v="A116"/>
    <s v="P06"/>
    <n v="500"/>
    <x v="0"/>
    <s v="Distributor"/>
    <s v="West"/>
    <s v="2026-09"/>
    <s v="Missing"/>
    <s v="Missing"/>
    <x v="0"/>
    <x v="1"/>
    <s v="2026-09"/>
  </r>
  <r>
    <s v="T0438"/>
    <d v="2026-08-25T00:00:00"/>
    <s v="A999"/>
    <s v="P02"/>
    <n v="15000"/>
    <x v="0"/>
    <s v="Distributor"/>
    <s v="South"/>
    <s v="2026-08"/>
    <s v="Missing"/>
    <s v="Missing"/>
    <x v="1"/>
    <x v="3"/>
    <s v="2026-08"/>
  </r>
  <r>
    <s v="T0439"/>
    <d v="2026-08-07T00:00:00"/>
    <s v="A106"/>
    <s v="P01"/>
    <n v="1500"/>
    <x v="0"/>
    <s v="Distributor"/>
    <s v="South"/>
    <s v="2026-08"/>
    <s v="Missing"/>
    <s v="Missing"/>
    <x v="1"/>
    <x v="0"/>
    <s v="2026-08"/>
  </r>
  <r>
    <s v="T0440"/>
    <d v="2026-08-07T00:00:00"/>
    <s v="A109"/>
    <s v="P01"/>
    <n v="750"/>
    <x v="0"/>
    <s v="Distributor"/>
    <s v="East"/>
    <s v="2026-08"/>
    <s v="Missing"/>
    <s v="Missing"/>
    <x v="1"/>
    <x v="0"/>
    <s v="2026-08"/>
  </r>
  <r>
    <s v="T0441"/>
    <d v="2026-08-07T00:00:00"/>
    <s v="A102"/>
    <s v="P01"/>
    <n v="2000"/>
    <x v="0"/>
    <s v="Retailer"/>
    <s v="South"/>
    <s v="2026-08"/>
    <s v="Missing"/>
    <s v="Missing"/>
    <x v="1"/>
    <x v="0"/>
    <s v="2026-08"/>
  </r>
  <r>
    <s v="T0442"/>
    <d v="2026-09-25T00:00:00"/>
    <s v="A125"/>
    <s v="P01"/>
    <n v="1500"/>
    <x v="0"/>
    <s v="Distributor"/>
    <s v="North"/>
    <s v="2026-09"/>
    <s v="Missing"/>
    <s v="Missing"/>
    <x v="0"/>
    <x v="0"/>
    <s v="2026-09"/>
  </r>
  <r>
    <s v="T0443"/>
    <d v="2026-09-16T00:00:00"/>
    <s v="A136"/>
    <s v="P02"/>
    <n v="10000"/>
    <x v="0"/>
    <s v="Retailer"/>
    <s v="East"/>
    <s v="2026-09"/>
    <s v="Missing"/>
    <s v="Missing"/>
    <x v="0"/>
    <x v="3"/>
    <s v="2026-09"/>
  </r>
  <r>
    <s v="T0444"/>
    <d v="2026-08-11T00:00:00"/>
    <s v="A109"/>
    <s v="P03"/>
    <n v="1500"/>
    <x v="0"/>
    <s v="Distributor"/>
    <s v="West"/>
    <s v="2026-08"/>
    <s v="Missing"/>
    <s v="Missing"/>
    <x v="1"/>
    <x v="2"/>
    <s v="2026-08"/>
  </r>
  <r>
    <s v="T0445"/>
    <d v="2026-08-05T00:00:00"/>
    <s v="A111"/>
    <s v="P04"/>
    <n v="1500"/>
    <x v="0"/>
    <s v="Distributor"/>
    <s v="East"/>
    <s v="2026-08"/>
    <s v="Missing"/>
    <s v="Missing"/>
    <x v="1"/>
    <x v="5"/>
    <s v="2026-08"/>
  </r>
  <r>
    <s v="T0446"/>
    <d v="2026-09-20T00:00:00"/>
    <s v="A105"/>
    <s v="P03"/>
    <n v="1500"/>
    <x v="0"/>
    <s v="Retailer"/>
    <s v="East"/>
    <s v="2026-09"/>
    <s v="Missing"/>
    <s v="Missing"/>
    <x v="0"/>
    <x v="2"/>
    <s v="2026-09"/>
  </r>
  <r>
    <s v="T0447"/>
    <d v="2026-09-08T00:00:00"/>
    <s v="A140"/>
    <s v="P02"/>
    <n v="5000"/>
    <x v="0"/>
    <s v="Retailer"/>
    <s v="South"/>
    <s v="2026-09"/>
    <s v="Missing"/>
    <s v="Missing"/>
    <x v="0"/>
    <x v="3"/>
    <s v="2026-09"/>
  </r>
  <r>
    <s v="T0448"/>
    <d v="2026-08-01T00:00:00"/>
    <s v="A126"/>
    <s v="P03"/>
    <n v="10000"/>
    <x v="0"/>
    <s v="Distributor"/>
    <s v="East"/>
    <s v="2026-08"/>
    <s v="Missing"/>
    <s v="Missing"/>
    <x v="1"/>
    <x v="2"/>
    <s v="2026-08"/>
  </r>
  <r>
    <s v="T0449"/>
    <d v="2026-08-22T00:00:00"/>
    <s v="A128"/>
    <s v="P06"/>
    <n v="10000"/>
    <x v="0"/>
    <s v="Distributor"/>
    <s v="South"/>
    <s v="2026-08"/>
    <s v="Missing"/>
    <s v="Missing"/>
    <x v="1"/>
    <x v="1"/>
    <s v="2026-08"/>
  </r>
  <r>
    <s v="T0450"/>
    <d v="2026-09-08T00:00:00"/>
    <s v="A113"/>
    <s v="P04"/>
    <n v="2000"/>
    <x v="0"/>
    <s v="Distributor"/>
    <s v="South"/>
    <s v="2026-09"/>
    <s v="Missing"/>
    <s v="Missing"/>
    <x v="0"/>
    <x v="5"/>
    <s v="2026-09"/>
  </r>
  <r>
    <s v="T0451"/>
    <d v="2026-08-19T00:00:00"/>
    <s v="A999"/>
    <s v="P04"/>
    <n v="10000"/>
    <x v="0"/>
    <s v="Distributor"/>
    <s v="East"/>
    <s v="2026-08"/>
    <s v="Missing"/>
    <s v="Missing"/>
    <x v="1"/>
    <x v="5"/>
    <s v="2026-08"/>
  </r>
  <r>
    <s v="T0452"/>
    <d v="2026-08-18T00:00:00"/>
    <s v="A126"/>
    <s v="P03"/>
    <n v="500"/>
    <x v="1"/>
    <s v="Retailer"/>
    <s v="West"/>
    <s v="2026-08"/>
    <s v="Missing"/>
    <s v="Missing"/>
    <x v="1"/>
    <x v="2"/>
    <s v="2026-08"/>
  </r>
  <r>
    <s v="T0453"/>
    <d v="2026-09-13T00:00:00"/>
    <s v="A136"/>
    <s v="P01"/>
    <n v="15000"/>
    <x v="0"/>
    <s v="Retailer"/>
    <s v="West"/>
    <s v="2026-09"/>
    <s v="Missing"/>
    <s v="Missing"/>
    <x v="0"/>
    <x v="0"/>
    <s v="2026-09"/>
  </r>
  <r>
    <s v="T0454"/>
    <d v="2026-08-29T00:00:00"/>
    <s v="A119"/>
    <s v="P06"/>
    <n v="500"/>
    <x v="0"/>
    <s v="Retailer"/>
    <s v="East"/>
    <s v="2026-08"/>
    <s v="Missing"/>
    <s v="Missing"/>
    <x v="1"/>
    <x v="1"/>
    <s v="2026-08"/>
  </r>
  <r>
    <s v="T0455"/>
    <d v="2026-08-09T00:00:00"/>
    <s v="A999"/>
    <s v="P03"/>
    <n v="1000"/>
    <x v="0"/>
    <s v="Retailer"/>
    <s v="West"/>
    <s v="2026-08"/>
    <s v="Missing"/>
    <s v="Missing"/>
    <x v="1"/>
    <x v="2"/>
    <s v="2026-08"/>
  </r>
  <r>
    <s v="T0456"/>
    <d v="2026-09-15T00:00:00"/>
    <s v="A128"/>
    <s v="P04"/>
    <n v="500"/>
    <x v="0"/>
    <s v="Retailer"/>
    <s v="East"/>
    <s v="2026-09"/>
    <s v="Missing"/>
    <s v="Missing"/>
    <x v="0"/>
    <x v="5"/>
    <s v="2026-09"/>
  </r>
  <r>
    <s v="T0457"/>
    <d v="2026-09-07T00:00:00"/>
    <s v="A126"/>
    <s v="P05"/>
    <n v="7500"/>
    <x v="0"/>
    <s v="Retailer"/>
    <s v="North"/>
    <s v="2026-09"/>
    <s v="Missing"/>
    <s v="Missing"/>
    <x v="0"/>
    <x v="4"/>
    <s v="2026-09"/>
  </r>
  <r>
    <s v="T0458"/>
    <d v="2026-09-20T00:00:00"/>
    <s v="A124"/>
    <s v="P06"/>
    <n v="20000"/>
    <x v="0"/>
    <s v="Retailer"/>
    <s v="North"/>
    <s v="2026-09"/>
    <s v="Missing"/>
    <s v="Missing"/>
    <x v="0"/>
    <x v="1"/>
    <s v="2026-09"/>
  </r>
  <r>
    <s v="T0459"/>
    <d v="2026-08-07T00:00:00"/>
    <s v="A116"/>
    <s v="P06"/>
    <n v="12500"/>
    <x v="0"/>
    <s v="Retailer"/>
    <s v="North"/>
    <s v="2026-08"/>
    <s v="Missing"/>
    <s v="Missing"/>
    <x v="1"/>
    <x v="1"/>
    <s v="2026-08"/>
  </r>
  <r>
    <s v="T0460"/>
    <d v="2026-09-06T00:00:00"/>
    <m/>
    <s v="P06"/>
    <n v="12500"/>
    <x v="0"/>
    <s v="Distributor"/>
    <s v="East"/>
    <s v="2026-09"/>
    <s v="Missing"/>
    <s v="Missing"/>
    <x v="0"/>
    <x v="1"/>
    <s v="2026-09"/>
  </r>
  <r>
    <s v="T0461"/>
    <d v="2026-08-07T00:00:00"/>
    <s v="A101"/>
    <s v="P01"/>
    <n v="1500"/>
    <x v="0"/>
    <s v="Retailer"/>
    <s v="West"/>
    <s v="2026-08"/>
    <s v="Missing"/>
    <s v="Missing"/>
    <x v="1"/>
    <x v="0"/>
    <s v="2026-08"/>
  </r>
  <r>
    <s v="T0462"/>
    <d v="2026-08-29T00:00:00"/>
    <s v="A124"/>
    <s v="P04"/>
    <n v="5000"/>
    <x v="1"/>
    <s v="Retailer"/>
    <s v="West"/>
    <s v="2026-08"/>
    <s v="Missing"/>
    <s v="Missing"/>
    <x v="1"/>
    <x v="5"/>
    <s v="2026-08"/>
  </r>
  <r>
    <s v="T0463"/>
    <d v="2026-08-23T00:00:00"/>
    <s v="A102"/>
    <s v="P04"/>
    <n v="500"/>
    <x v="0"/>
    <s v="Distributor"/>
    <s v="North"/>
    <s v="2026-08"/>
    <s v="Missing"/>
    <s v="Missing"/>
    <x v="1"/>
    <x v="5"/>
    <s v="2026-08"/>
  </r>
  <r>
    <s v="T0464"/>
    <d v="2026-08-08T00:00:00"/>
    <s v="A110"/>
    <s v="P03"/>
    <n v="1500"/>
    <x v="0"/>
    <s v="Distributor"/>
    <s v="West"/>
    <s v="2026-08"/>
    <s v="Missing"/>
    <s v="Missing"/>
    <x v="1"/>
    <x v="2"/>
    <s v="2026-08"/>
  </r>
  <r>
    <s v="T0465"/>
    <d v="2026-09-03T00:00:00"/>
    <s v="A131"/>
    <s v="P03"/>
    <n v="5000"/>
    <x v="0"/>
    <s v="Distributor"/>
    <s v="East"/>
    <s v="2026-09"/>
    <s v="Missing"/>
    <s v="Missing"/>
    <x v="0"/>
    <x v="2"/>
    <s v="2026-09"/>
  </r>
  <r>
    <s v="T0466"/>
    <d v="2026-08-21T00:00:00"/>
    <s v="A105"/>
    <s v="P03"/>
    <n v="250"/>
    <x v="0"/>
    <s v="Retailer"/>
    <s v="South"/>
    <s v="2026-08"/>
    <s v="Missing"/>
    <s v="Missing"/>
    <x v="1"/>
    <x v="2"/>
    <s v="2026-08"/>
  </r>
  <r>
    <s v="T0467"/>
    <d v="2026-09-11T00:00:00"/>
    <s v="A107"/>
    <s v="P06"/>
    <n v="20000"/>
    <x v="0"/>
    <s v="Retailer"/>
    <s v="West"/>
    <s v="2026-09"/>
    <s v="Missing"/>
    <s v="Missing"/>
    <x v="0"/>
    <x v="1"/>
    <s v="2026-09"/>
  </r>
  <r>
    <s v="T0468"/>
    <d v="2026-09-03T00:00:00"/>
    <s v="A112"/>
    <s v="P05"/>
    <n v="750"/>
    <x v="0"/>
    <s v="Retailer"/>
    <s v="East"/>
    <s v="2026-09"/>
    <s v="Missing"/>
    <s v="Missing"/>
    <x v="0"/>
    <x v="4"/>
    <s v="2026-09"/>
  </r>
  <r>
    <s v="T0469"/>
    <d v="2026-08-30T00:00:00"/>
    <s v="A115"/>
    <s v="P04"/>
    <n v="12500"/>
    <x v="0"/>
    <s v="Retailer"/>
    <s v="East"/>
    <s v="2026-08"/>
    <s v="Missing"/>
    <s v="Missing"/>
    <x v="1"/>
    <x v="5"/>
    <s v="2026-08"/>
  </r>
  <r>
    <s v="T0470"/>
    <d v="2026-08-26T00:00:00"/>
    <s v="A102"/>
    <s v="P06"/>
    <n v="10000"/>
    <x v="0"/>
    <s v="Distributor"/>
    <s v="East"/>
    <s v="2026-08"/>
    <s v="Missing"/>
    <s v="Missing"/>
    <x v="1"/>
    <x v="1"/>
    <s v="2026-08"/>
  </r>
  <r>
    <s v="T0471"/>
    <d v="2026-08-25T00:00:00"/>
    <s v="A101"/>
    <s v="P06"/>
    <n v="1000"/>
    <x v="0"/>
    <s v="Distributor"/>
    <s v="North"/>
    <s v="2026-08"/>
    <s v="Missing"/>
    <s v="Missing"/>
    <x v="1"/>
    <x v="1"/>
    <s v="2026-08"/>
  </r>
  <r>
    <s v="T0472"/>
    <d v="2026-09-06T00:00:00"/>
    <s v="A107"/>
    <s v="P05"/>
    <n v="750"/>
    <x v="0"/>
    <s v="Distributor"/>
    <s v="West"/>
    <s v="2026-09"/>
    <s v="Missing"/>
    <s v="Missing"/>
    <x v="0"/>
    <x v="4"/>
    <s v="2026-09"/>
  </r>
  <r>
    <s v="T0473"/>
    <d v="2026-08-30T00:00:00"/>
    <s v="A108"/>
    <s v="P03"/>
    <n v="12500"/>
    <x v="0"/>
    <s v="Retailer"/>
    <s v="South"/>
    <s v="2026-08"/>
    <s v="Missing"/>
    <s v="Missing"/>
    <x v="1"/>
    <x v="2"/>
    <s v="2026-08"/>
  </r>
  <r>
    <s v="T0474"/>
    <d v="2026-09-08T00:00:00"/>
    <s v="A125"/>
    <s v="P05"/>
    <n v="2500"/>
    <x v="1"/>
    <s v="Retailer"/>
    <s v="South"/>
    <s v="2026-09"/>
    <s v="Missing"/>
    <s v="Missing"/>
    <x v="0"/>
    <x v="4"/>
    <s v="2026-09"/>
  </r>
  <r>
    <s v="T0475"/>
    <d v="2026-08-23T00:00:00"/>
    <s v="A130"/>
    <s v="P05"/>
    <n v="750"/>
    <x v="0"/>
    <s v="Retailer"/>
    <s v="North"/>
    <s v="2026-08"/>
    <s v="Missing"/>
    <s v="Missing"/>
    <x v="1"/>
    <x v="4"/>
    <s v="2026-08"/>
  </r>
  <r>
    <s v="T0476"/>
    <d v="2026-09-13T00:00:00"/>
    <s v="A109"/>
    <s v="P03"/>
    <n v="500"/>
    <x v="0"/>
    <s v="Distributor"/>
    <s v="North"/>
    <s v="2026-09"/>
    <s v="Missing"/>
    <s v="Missing"/>
    <x v="0"/>
    <x v="2"/>
    <s v="2026-09"/>
  </r>
  <r>
    <s v="T0477"/>
    <d v="2026-08-12T00:00:00"/>
    <s v="A124"/>
    <s v="P06"/>
    <n v="750"/>
    <x v="0"/>
    <s v="Distributor"/>
    <s v="East"/>
    <s v="2026-08"/>
    <s v="Missing"/>
    <s v="Missing"/>
    <x v="1"/>
    <x v="1"/>
    <s v="2026-08"/>
  </r>
  <r>
    <s v="T0478"/>
    <d v="2026-09-08T00:00:00"/>
    <s v="A109"/>
    <s v="P05"/>
    <n v="2500"/>
    <x v="0"/>
    <s v="Retailer"/>
    <s v="East"/>
    <s v="2026-09"/>
    <s v="Missing"/>
    <s v="Missing"/>
    <x v="0"/>
    <x v="4"/>
    <s v="2026-09"/>
  </r>
  <r>
    <s v="T0479"/>
    <d v="2026-09-10T00:00:00"/>
    <s v="A135"/>
    <s v="P06"/>
    <n v="12500"/>
    <x v="0"/>
    <s v="Retailer"/>
    <s v="West"/>
    <s v="2026-09"/>
    <s v="Missing"/>
    <s v="Missing"/>
    <x v="0"/>
    <x v="1"/>
    <s v="2026-09"/>
  </r>
  <r>
    <s v="T0480"/>
    <d v="2026-09-01T00:00:00"/>
    <s v="A119"/>
    <s v="P02"/>
    <n v="750"/>
    <x v="0"/>
    <s v="Distributor"/>
    <s v="North"/>
    <s v="2026-09"/>
    <s v="Missing"/>
    <s v="Missing"/>
    <x v="0"/>
    <x v="3"/>
    <s v="2026-09"/>
  </r>
  <r>
    <s v="T0481"/>
    <d v="2026-09-25T00:00:00"/>
    <s v="A123"/>
    <s v="P01"/>
    <n v="5000"/>
    <x v="0"/>
    <s v="Retailer"/>
    <s v="East"/>
    <s v="2026-09"/>
    <s v="Missing"/>
    <s v="Missing"/>
    <x v="0"/>
    <x v="0"/>
    <s v="2026-09"/>
  </r>
  <r>
    <s v="T0482"/>
    <d v="2026-09-05T00:00:00"/>
    <s v="A133"/>
    <s v="P06"/>
    <n v="5000"/>
    <x v="0"/>
    <s v="Retailer"/>
    <s v="East"/>
    <s v="2026-09"/>
    <s v="Missing"/>
    <s v="Missing"/>
    <x v="0"/>
    <x v="1"/>
    <s v="2026-09"/>
  </r>
  <r>
    <s v="T0483"/>
    <d v="2026-08-27T00:00:00"/>
    <s v="A129"/>
    <s v="P04"/>
    <n v="750"/>
    <x v="0"/>
    <s v="Retailer"/>
    <s v="North"/>
    <s v="2026-08"/>
    <s v="Missing"/>
    <s v="Missing"/>
    <x v="1"/>
    <x v="5"/>
    <s v="2026-08"/>
  </r>
  <r>
    <s v="T0484"/>
    <d v="2026-09-20T00:00:00"/>
    <s v="A115"/>
    <s v="P03"/>
    <n v="250"/>
    <x v="0"/>
    <s v="Retailer"/>
    <s v="South"/>
    <s v="2026-09"/>
    <s v="Missing"/>
    <s v="Missing"/>
    <x v="0"/>
    <x v="2"/>
    <s v="2026-09"/>
  </r>
  <r>
    <s v="T0485"/>
    <d v="2026-08-11T00:00:00"/>
    <s v="A130"/>
    <s v="P05"/>
    <n v="15000"/>
    <x v="0"/>
    <s v="Retailer"/>
    <s v="North"/>
    <s v="2026-08"/>
    <s v="Missing"/>
    <s v="Missing"/>
    <x v="1"/>
    <x v="4"/>
    <s v="2026-08"/>
  </r>
  <r>
    <s v="T0486"/>
    <d v="2026-09-06T00:00:00"/>
    <s v="A108"/>
    <s v="P03"/>
    <n v="20000"/>
    <x v="0"/>
    <s v="Distributor"/>
    <s v="North"/>
    <s v="2026-09"/>
    <s v="Missing"/>
    <s v="Missing"/>
    <x v="0"/>
    <x v="2"/>
    <s v="2026-09"/>
  </r>
  <r>
    <s v="T0487"/>
    <d v="2026-09-18T00:00:00"/>
    <s v="A129"/>
    <s v="P05"/>
    <n v="1000"/>
    <x v="0"/>
    <s v="Retailer"/>
    <s v="West"/>
    <s v="2026-09"/>
    <s v="Missing"/>
    <s v="Missing"/>
    <x v="0"/>
    <x v="4"/>
    <s v="2026-09"/>
  </r>
  <r>
    <s v="T0488"/>
    <d v="2026-08-20T00:00:00"/>
    <s v="A103"/>
    <s v="P04"/>
    <n v="1500"/>
    <x v="0"/>
    <s v="Retailer"/>
    <s v="East"/>
    <s v="2026-08"/>
    <s v="Missing"/>
    <s v="Missing"/>
    <x v="1"/>
    <x v="5"/>
    <s v="2026-08"/>
  </r>
  <r>
    <s v="T0489"/>
    <d v="2026-09-25T00:00:00"/>
    <s v="A108"/>
    <s v="P02"/>
    <n v="1000"/>
    <x v="1"/>
    <s v="Retailer"/>
    <s v="South"/>
    <s v="2026-09"/>
    <s v="Missing"/>
    <s v="Missing"/>
    <x v="0"/>
    <x v="3"/>
    <s v="2026-09"/>
  </r>
  <r>
    <s v="T0490"/>
    <d v="2026-09-25T00:00:00"/>
    <s v="A140"/>
    <s v="P06"/>
    <n v="2500"/>
    <x v="0"/>
    <s v="Retailer"/>
    <s v="West"/>
    <s v="2026-09"/>
    <s v="Missing"/>
    <s v="Missing"/>
    <x v="0"/>
    <x v="1"/>
    <s v="2026-09"/>
  </r>
  <r>
    <s v="T0491"/>
    <d v="2026-09-20T00:00:00"/>
    <s v="A114"/>
    <s v="P02"/>
    <n v="20000"/>
    <x v="0"/>
    <s v="Retailer"/>
    <s v="South"/>
    <s v="2026-09"/>
    <s v="Missing"/>
    <s v="Missing"/>
    <x v="0"/>
    <x v="3"/>
    <s v="2026-09"/>
  </r>
  <r>
    <s v="T0492"/>
    <d v="2026-09-04T00:00:00"/>
    <s v="A118"/>
    <s v="P05"/>
    <n v="7500"/>
    <x v="0"/>
    <s v="Distributor"/>
    <s v="South"/>
    <s v="2026-09"/>
    <s v="Missing"/>
    <s v="Missing"/>
    <x v="0"/>
    <x v="4"/>
    <s v="2026-09"/>
  </r>
  <r>
    <s v="T0493"/>
    <d v="2026-08-19T00:00:00"/>
    <s v="A137"/>
    <s v="P03"/>
    <n v="7500"/>
    <x v="0"/>
    <s v="Retailer"/>
    <s v="East"/>
    <s v="2026-08"/>
    <s v="Missing"/>
    <s v="Missing"/>
    <x v="1"/>
    <x v="2"/>
    <s v="2026-08"/>
  </r>
  <r>
    <s v="T0494"/>
    <d v="2026-09-28T00:00:00"/>
    <s v="A104"/>
    <s v="P03"/>
    <n v="12500"/>
    <x v="0"/>
    <s v="Retailer"/>
    <s v="West"/>
    <s v="2026-09"/>
    <s v="Missing"/>
    <s v="Missing"/>
    <x v="0"/>
    <x v="2"/>
    <s v="2026-09"/>
  </r>
  <r>
    <s v="T0495"/>
    <d v="2026-08-16T00:00:00"/>
    <s v="A110"/>
    <s v="P06"/>
    <n v="2000"/>
    <x v="0"/>
    <s v="Retailer"/>
    <s v="East"/>
    <s v="2026-08"/>
    <s v="Missing"/>
    <s v="Missing"/>
    <x v="1"/>
    <x v="1"/>
    <s v="2026-08"/>
  </r>
  <r>
    <s v="T0496"/>
    <d v="2026-09-01T00:00:00"/>
    <s v="A110"/>
    <s v="P05"/>
    <n v="12500"/>
    <x v="0"/>
    <s v="Retailer"/>
    <s v="East"/>
    <s v="2026-09"/>
    <s v="Missing"/>
    <s v="Missing"/>
    <x v="0"/>
    <x v="4"/>
    <s v="2026-09"/>
  </r>
  <r>
    <s v="T0497"/>
    <d v="2026-08-25T00:00:00"/>
    <s v="A129"/>
    <s v="P01"/>
    <n v="12500"/>
    <x v="0"/>
    <s v="Distributor"/>
    <s v="South"/>
    <s v="2026-08"/>
    <s v="Missing"/>
    <s v="Missing"/>
    <x v="1"/>
    <x v="0"/>
    <s v="2026-08"/>
  </r>
  <r>
    <s v="T0498"/>
    <d v="2026-09-14T00:00:00"/>
    <s v="A124"/>
    <s v="P04"/>
    <n v="5000"/>
    <x v="0"/>
    <s v="Retailer"/>
    <s v="North"/>
    <s v="2026-09"/>
    <s v="Missing"/>
    <s v="Missing"/>
    <x v="0"/>
    <x v="5"/>
    <s v="2026-09"/>
  </r>
  <r>
    <s v="T0499"/>
    <d v="2026-09-25T00:00:00"/>
    <s v="A106"/>
    <s v="P06"/>
    <n v="5000"/>
    <x v="0"/>
    <s v="Retailer"/>
    <s v="East"/>
    <s v="2026-09"/>
    <s v="Missing"/>
    <s v="Missing"/>
    <x v="0"/>
    <x v="1"/>
    <s v="2026-09"/>
  </r>
  <r>
    <s v="T0500"/>
    <d v="2026-08-14T00:00:00"/>
    <s v="A128"/>
    <s v="P02"/>
    <n v="5000"/>
    <x v="0"/>
    <s v="Distributor"/>
    <s v="South"/>
    <s v="2026-08"/>
    <s v="Missing"/>
    <s v="Missing"/>
    <x v="1"/>
    <x v="3"/>
    <s v="2026-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6ADC5-1199-4243-BA4D-19A83E5A35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14">
    <pivotField showAll="0"/>
    <pivotField numFmtId="164"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4"/>
        <item x="5"/>
        <item x="1"/>
        <item x="3"/>
        <item t="default"/>
      </items>
    </pivotField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5" item="1" hier="-1"/>
  </pageField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8DBFD-0F9B-4E79-992F-38C5436572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8" firstHeaderRow="1" firstDataRow="1" firstDataCol="1" rowPageCount="1" colPageCount="1"/>
  <pivotFields count="14">
    <pivotField showAll="0"/>
    <pivotField numFmtId="164" showAll="0"/>
    <pivotField showAll="0"/>
    <pivotField showAll="0"/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7">
        <item x="0"/>
        <item x="2"/>
        <item x="4"/>
        <item x="5"/>
        <item x="1"/>
        <item x="3"/>
        <item t="default"/>
      </items>
    </pivotField>
    <pivotField showAll="0"/>
  </pivotFields>
  <rowFields count="2">
    <field x="11"/>
    <field x="12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ageFields count="1">
    <pageField fld="5" item="1" hier="-1"/>
  </pageFields>
  <dataFields count="1">
    <dataField name="Sum of Amount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gentMaster" displayName="AgentMaster" ref="A3:D43">
  <tableColumns count="4">
    <tableColumn id="1" xr3:uid="{00000000-0010-0000-0100-000001000000}" name="Agent ID"/>
    <tableColumn id="2" xr3:uid="{00000000-0010-0000-0100-000002000000}" name="Agent Name"/>
    <tableColumn id="3" xr3:uid="{00000000-0010-0000-0100-000003000000}" name="ASM"/>
    <tableColumn id="4" xr3:uid="{00000000-0010-0000-0100-000004000000}" name="Stat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Map" displayName="ProductMap" ref="A3:C9">
  <tableColumns count="3">
    <tableColumn id="1" xr3:uid="{00000000-0010-0000-0200-000001000000}" name="Product Code"/>
    <tableColumn id="2" xr3:uid="{00000000-0010-0000-0200-000002000000}" name="Product Name"/>
    <tableColumn id="3" xr3:uid="{00000000-0010-0000-0200-000003000000}" name="Categor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showGridLines="0" topLeftCell="A29" workbookViewId="0">
      <selection activeCell="B35" sqref="B35"/>
    </sheetView>
  </sheetViews>
  <sheetFormatPr defaultRowHeight="14.4" x14ac:dyDescent="0.3"/>
  <cols>
    <col min="1" max="1" width="15.109375" bestFit="1" customWidth="1"/>
    <col min="2" max="2" width="132.44140625" bestFit="1" customWidth="1"/>
  </cols>
  <sheetData>
    <row r="1" spans="1:2" ht="21" hidden="1" x14ac:dyDescent="0.4">
      <c r="A1" s="10" t="s">
        <v>0</v>
      </c>
      <c r="B1" s="11"/>
    </row>
    <row r="2" spans="1:2" hidden="1" x14ac:dyDescent="0.3"/>
    <row r="3" spans="1:2" hidden="1" x14ac:dyDescent="0.3">
      <c r="A3" s="1" t="s">
        <v>1</v>
      </c>
      <c r="B3" t="s">
        <v>2</v>
      </c>
    </row>
    <row r="4" spans="1:2" hidden="1" x14ac:dyDescent="0.3">
      <c r="A4" s="1" t="s">
        <v>3</v>
      </c>
      <c r="B4" t="s">
        <v>4</v>
      </c>
    </row>
    <row r="5" spans="1:2" hidden="1" x14ac:dyDescent="0.3">
      <c r="A5" s="1" t="s">
        <v>5</v>
      </c>
      <c r="B5" t="s">
        <v>6</v>
      </c>
    </row>
    <row r="6" spans="1:2" hidden="1" x14ac:dyDescent="0.3">
      <c r="A6" s="1" t="s">
        <v>7</v>
      </c>
      <c r="B6" t="s">
        <v>8</v>
      </c>
    </row>
    <row r="7" spans="1:2" hidden="1" x14ac:dyDescent="0.3">
      <c r="A7" s="1" t="s">
        <v>9</v>
      </c>
      <c r="B7" s="2"/>
    </row>
    <row r="8" spans="1:2" hidden="1" x14ac:dyDescent="0.3"/>
    <row r="9" spans="1:2" hidden="1" x14ac:dyDescent="0.3"/>
    <row r="10" spans="1:2" hidden="1" x14ac:dyDescent="0.3">
      <c r="A10" s="3" t="s">
        <v>10</v>
      </c>
      <c r="B10" s="3" t="s">
        <v>11</v>
      </c>
    </row>
    <row r="11" spans="1:2" hidden="1" x14ac:dyDescent="0.3">
      <c r="A11" s="3" t="s">
        <v>12</v>
      </c>
      <c r="B11" s="3" t="s">
        <v>13</v>
      </c>
    </row>
    <row r="12" spans="1:2" hidden="1" x14ac:dyDescent="0.3">
      <c r="A12" s="3" t="s">
        <v>14</v>
      </c>
      <c r="B12" s="3" t="s">
        <v>15</v>
      </c>
    </row>
    <row r="13" spans="1:2" hidden="1" x14ac:dyDescent="0.3">
      <c r="A13" s="3" t="s">
        <v>16</v>
      </c>
      <c r="B13" s="3" t="s">
        <v>17</v>
      </c>
    </row>
    <row r="14" spans="1:2" hidden="1" x14ac:dyDescent="0.3">
      <c r="A14" s="3" t="s">
        <v>18</v>
      </c>
      <c r="B14" s="3" t="s">
        <v>19</v>
      </c>
    </row>
    <row r="15" spans="1:2" hidden="1" x14ac:dyDescent="0.3"/>
    <row r="16" spans="1:2" hidden="1" x14ac:dyDescent="0.3"/>
    <row r="17" spans="1:3" x14ac:dyDescent="0.3">
      <c r="A17" s="4" t="s">
        <v>20</v>
      </c>
      <c r="B17" s="4" t="s">
        <v>21</v>
      </c>
    </row>
    <row r="18" spans="1:3" ht="48" customHeight="1" x14ac:dyDescent="0.3">
      <c r="A18" t="s">
        <v>22</v>
      </c>
      <c r="B18" t="s">
        <v>23</v>
      </c>
      <c r="C18">
        <f>SUMIFS('Transaction Data'!E:E,'Transaction Data'!F:F,"Success")</f>
        <v>2691750</v>
      </c>
    </row>
    <row r="19" spans="1:3" ht="48" customHeight="1" x14ac:dyDescent="0.3">
      <c r="A19" t="s">
        <v>24</v>
      </c>
      <c r="B19" t="s">
        <v>25</v>
      </c>
      <c r="C19">
        <f>AVERAGEIFS('Transaction Data'!E:E,'Transaction Data'!F:F,"Success")</f>
        <v>5955.1991150442482</v>
      </c>
    </row>
    <row r="20" spans="1:3" ht="48" customHeight="1" x14ac:dyDescent="0.3">
      <c r="A20" t="s">
        <v>26</v>
      </c>
      <c r="B20" t="s">
        <v>27</v>
      </c>
    </row>
    <row r="21" spans="1:3" ht="48" customHeight="1" x14ac:dyDescent="0.3">
      <c r="A21" t="s">
        <v>28</v>
      </c>
      <c r="B21" t="s">
        <v>29</v>
      </c>
      <c r="C21" t="s">
        <v>690</v>
      </c>
    </row>
    <row r="22" spans="1:3" ht="48" customHeight="1" x14ac:dyDescent="0.3">
      <c r="A22" t="s">
        <v>30</v>
      </c>
      <c r="B22" t="s">
        <v>31</v>
      </c>
    </row>
    <row r="23" spans="1:3" ht="48" customHeight="1" x14ac:dyDescent="0.3">
      <c r="A23" t="s">
        <v>32</v>
      </c>
      <c r="B23" t="s">
        <v>33</v>
      </c>
    </row>
    <row r="24" spans="1:3" ht="48" customHeight="1" x14ac:dyDescent="0.3">
      <c r="A24" t="s">
        <v>34</v>
      </c>
      <c r="B24" t="s">
        <v>35</v>
      </c>
    </row>
    <row r="25" spans="1:3" ht="48" customHeight="1" x14ac:dyDescent="0.3">
      <c r="A25" t="s">
        <v>36</v>
      </c>
      <c r="B25" t="s">
        <v>37</v>
      </c>
    </row>
    <row r="26" spans="1:3" ht="48" customHeight="1" x14ac:dyDescent="0.3">
      <c r="A26" t="s">
        <v>38</v>
      </c>
      <c r="B26" t="s">
        <v>39</v>
      </c>
    </row>
    <row r="27" spans="1:3" ht="48" customHeight="1" x14ac:dyDescent="0.3">
      <c r="A27" t="s">
        <v>40</v>
      </c>
      <c r="B27" t="s">
        <v>41</v>
      </c>
      <c r="C27" t="s">
        <v>693</v>
      </c>
    </row>
    <row r="28" spans="1:3" ht="48" customHeight="1" x14ac:dyDescent="0.3">
      <c r="A28" t="s">
        <v>42</v>
      </c>
      <c r="B28" t="s">
        <v>43</v>
      </c>
    </row>
    <row r="29" spans="1:3" ht="48" customHeight="1" x14ac:dyDescent="0.3">
      <c r="A29" t="s">
        <v>44</v>
      </c>
      <c r="B29" t="s">
        <v>45</v>
      </c>
    </row>
    <row r="30" spans="1:3" ht="48" customHeight="1" x14ac:dyDescent="0.3">
      <c r="A30" t="s">
        <v>46</v>
      </c>
      <c r="B30" t="s">
        <v>47</v>
      </c>
    </row>
    <row r="31" spans="1:3" ht="48" customHeight="1" x14ac:dyDescent="0.3">
      <c r="A31" t="s">
        <v>48</v>
      </c>
      <c r="B31" t="s">
        <v>49</v>
      </c>
    </row>
    <row r="32" spans="1:3" ht="48" customHeight="1" x14ac:dyDescent="0.3">
      <c r="A32" t="s">
        <v>50</v>
      </c>
      <c r="B32" t="s">
        <v>51</v>
      </c>
    </row>
    <row r="33" spans="1:2" ht="48" customHeight="1" x14ac:dyDescent="0.3">
      <c r="A33" t="s">
        <v>52</v>
      </c>
      <c r="B33" t="s">
        <v>53</v>
      </c>
    </row>
    <row r="34" spans="1:2" ht="48" customHeight="1" x14ac:dyDescent="0.3">
      <c r="A34" t="s">
        <v>54</v>
      </c>
      <c r="B34" t="s">
        <v>55</v>
      </c>
    </row>
    <row r="35" spans="1:2" ht="48" customHeight="1" x14ac:dyDescent="0.3">
      <c r="A35" t="s">
        <v>56</v>
      </c>
      <c r="B35" t="s">
        <v>57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95A4-1774-427C-A408-7A7DE97B8DBB}">
  <dimension ref="A1:B10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1" spans="1:2" x14ac:dyDescent="0.3">
      <c r="A1" s="7" t="s">
        <v>63</v>
      </c>
      <c r="B1" t="s">
        <v>72</v>
      </c>
    </row>
    <row r="3" spans="1:2" x14ac:dyDescent="0.3">
      <c r="A3" s="7" t="s">
        <v>694</v>
      </c>
      <c r="B3" t="s">
        <v>696</v>
      </c>
    </row>
    <row r="4" spans="1:2" x14ac:dyDescent="0.3">
      <c r="A4" s="8" t="s">
        <v>679</v>
      </c>
      <c r="B4">
        <v>341750</v>
      </c>
    </row>
    <row r="5" spans="1:2" x14ac:dyDescent="0.3">
      <c r="A5" s="8" t="s">
        <v>683</v>
      </c>
      <c r="B5">
        <v>494000</v>
      </c>
    </row>
    <row r="6" spans="1:2" x14ac:dyDescent="0.3">
      <c r="A6" s="8" t="s">
        <v>686</v>
      </c>
      <c r="B6">
        <v>378500</v>
      </c>
    </row>
    <row r="7" spans="1:2" x14ac:dyDescent="0.3">
      <c r="A7" s="8" t="s">
        <v>684</v>
      </c>
      <c r="B7">
        <v>384000</v>
      </c>
    </row>
    <row r="8" spans="1:2" x14ac:dyDescent="0.3">
      <c r="A8" s="8" t="s">
        <v>688</v>
      </c>
      <c r="B8">
        <v>665250</v>
      </c>
    </row>
    <row r="9" spans="1:2" x14ac:dyDescent="0.3">
      <c r="A9" s="8" t="s">
        <v>681</v>
      </c>
      <c r="B9">
        <v>428250</v>
      </c>
    </row>
    <row r="10" spans="1:2" x14ac:dyDescent="0.3">
      <c r="A10" s="8" t="s">
        <v>695</v>
      </c>
      <c r="B10">
        <v>2691750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CCEA-D9DB-4090-B22F-99ED1060BCD2}">
  <dimension ref="A1:B1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1" spans="1:2" x14ac:dyDescent="0.3">
      <c r="A1" s="7" t="s">
        <v>63</v>
      </c>
      <c r="B1" t="s">
        <v>72</v>
      </c>
    </row>
    <row r="3" spans="1:2" x14ac:dyDescent="0.3">
      <c r="A3" s="7" t="s">
        <v>694</v>
      </c>
      <c r="B3" t="s">
        <v>696</v>
      </c>
    </row>
    <row r="4" spans="1:2" x14ac:dyDescent="0.3">
      <c r="A4" s="8" t="s">
        <v>697</v>
      </c>
      <c r="B4">
        <v>1355750</v>
      </c>
    </row>
    <row r="5" spans="1:2" x14ac:dyDescent="0.3">
      <c r="A5" s="9" t="s">
        <v>679</v>
      </c>
      <c r="B5">
        <v>197000</v>
      </c>
    </row>
    <row r="6" spans="1:2" x14ac:dyDescent="0.3">
      <c r="A6" s="9" t="s">
        <v>683</v>
      </c>
      <c r="B6">
        <v>176750</v>
      </c>
    </row>
    <row r="7" spans="1:2" x14ac:dyDescent="0.3">
      <c r="A7" s="9" t="s">
        <v>686</v>
      </c>
      <c r="B7">
        <v>249500</v>
      </c>
    </row>
    <row r="8" spans="1:2" x14ac:dyDescent="0.3">
      <c r="A8" s="9" t="s">
        <v>684</v>
      </c>
      <c r="B8">
        <v>220750</v>
      </c>
    </row>
    <row r="9" spans="1:2" x14ac:dyDescent="0.3">
      <c r="A9" s="9" t="s">
        <v>688</v>
      </c>
      <c r="B9">
        <v>324500</v>
      </c>
    </row>
    <row r="10" spans="1:2" x14ac:dyDescent="0.3">
      <c r="A10" s="9" t="s">
        <v>681</v>
      </c>
      <c r="B10">
        <v>187250</v>
      </c>
    </row>
    <row r="11" spans="1:2" x14ac:dyDescent="0.3">
      <c r="A11" s="8" t="s">
        <v>698</v>
      </c>
      <c r="B11">
        <v>1336000</v>
      </c>
    </row>
    <row r="12" spans="1:2" x14ac:dyDescent="0.3">
      <c r="A12" s="9" t="s">
        <v>679</v>
      </c>
      <c r="B12">
        <v>144750</v>
      </c>
    </row>
    <row r="13" spans="1:2" x14ac:dyDescent="0.3">
      <c r="A13" s="9" t="s">
        <v>683</v>
      </c>
      <c r="B13">
        <v>317250</v>
      </c>
    </row>
    <row r="14" spans="1:2" x14ac:dyDescent="0.3">
      <c r="A14" s="9" t="s">
        <v>686</v>
      </c>
      <c r="B14">
        <v>129000</v>
      </c>
    </row>
    <row r="15" spans="1:2" x14ac:dyDescent="0.3">
      <c r="A15" s="9" t="s">
        <v>684</v>
      </c>
      <c r="B15">
        <v>163250</v>
      </c>
    </row>
    <row r="16" spans="1:2" x14ac:dyDescent="0.3">
      <c r="A16" s="9" t="s">
        <v>688</v>
      </c>
      <c r="B16">
        <v>340750</v>
      </c>
    </row>
    <row r="17" spans="1:2" x14ac:dyDescent="0.3">
      <c r="A17" s="9" t="s">
        <v>681</v>
      </c>
      <c r="B17">
        <v>241000</v>
      </c>
    </row>
    <row r="18" spans="1:2" x14ac:dyDescent="0.3">
      <c r="A18" s="8" t="s">
        <v>695</v>
      </c>
      <c r="B18">
        <v>2691750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1"/>
  <sheetViews>
    <sheetView showGridLines="0" tabSelected="1" topLeftCell="D1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15" customWidth="1"/>
    <col min="2" max="2" width="18" customWidth="1"/>
    <col min="3" max="4" width="15" customWidth="1"/>
    <col min="5" max="5" width="14" customWidth="1"/>
    <col min="6" max="11" width="15" customWidth="1"/>
    <col min="12" max="12" width="12.77734375" bestFit="1" customWidth="1"/>
    <col min="13" max="13" width="13.77734375" bestFit="1" customWidth="1"/>
    <col min="14" max="15" width="11.44140625" bestFit="1" customWidth="1"/>
  </cols>
  <sheetData>
    <row r="1" spans="1:18" x14ac:dyDescent="0.3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6" t="s">
        <v>689</v>
      </c>
      <c r="M1" s="6" t="s">
        <v>691</v>
      </c>
      <c r="N1" s="6" t="s">
        <v>692</v>
      </c>
      <c r="O1" s="6" t="s">
        <v>67</v>
      </c>
    </row>
    <row r="2" spans="1:18" x14ac:dyDescent="0.3">
      <c r="A2" t="s">
        <v>69</v>
      </c>
      <c r="B2" s="5">
        <v>46275</v>
      </c>
      <c r="C2" t="s">
        <v>70</v>
      </c>
      <c r="D2" t="s">
        <v>71</v>
      </c>
      <c r="E2">
        <v>15000</v>
      </c>
      <c r="F2" t="s">
        <v>72</v>
      </c>
      <c r="G2" t="s">
        <v>73</v>
      </c>
      <c r="H2" t="s">
        <v>74</v>
      </c>
      <c r="I2" t="str">
        <f t="shared" ref="I2:I65" si="0">TEXT(B2,"yyyy-mm")</f>
        <v>2026-09</v>
      </c>
      <c r="K2" t="str">
        <f ca="1">IFERROR(_xludf.XLOOKUP(C2,'Agent Master'!$A:$A,'Agent Master'!$C:$C,"Missing"),"Missing")</f>
        <v>Missing</v>
      </c>
      <c r="L2" t="str">
        <f>TEXT(B2,"mmmm")</f>
        <v>September</v>
      </c>
      <c r="M2" t="str">
        <f>_xlfn.XLOOKUP('Transaction Data'!D2,ProductMap[Product Code],ProductMap[Product Name])</f>
        <v>AEPS</v>
      </c>
      <c r="N2" t="str">
        <f>TEXT(B2,"yyyy-mm")</f>
        <v>2026-09</v>
      </c>
      <c r="O2" t="str" cm="1">
        <f t="array" ref="O2">IFERROR(_xlfn.XLOOKUP(C2,AgentMaster[[#All],[Agent ID]],AgentMaster[[#All],[Agent Name]]),"")</f>
        <v>Agent 108</v>
      </c>
      <c r="P2">
        <f>COUNTIFS(O:O,O2,F:F,"Success")</f>
        <v>12</v>
      </c>
    </row>
    <row r="3" spans="1:18" x14ac:dyDescent="0.3">
      <c r="A3" t="s">
        <v>75</v>
      </c>
      <c r="B3" s="5">
        <v>46243</v>
      </c>
      <c r="C3" t="s">
        <v>76</v>
      </c>
      <c r="D3" t="s">
        <v>77</v>
      </c>
      <c r="E3">
        <v>15000</v>
      </c>
      <c r="F3" t="s">
        <v>72</v>
      </c>
      <c r="G3" t="s">
        <v>73</v>
      </c>
      <c r="H3" t="s">
        <v>78</v>
      </c>
      <c r="I3" t="str">
        <f t="shared" si="0"/>
        <v>2026-08</v>
      </c>
      <c r="J3" t="str">
        <f ca="1">IFERROR(_xludf.XLOOKUP(C3,'Agent Master'!$A:$A,'Agent Master'!$B:$B,"Missing"),"Missing")</f>
        <v>Missing</v>
      </c>
      <c r="K3" t="str">
        <f ca="1">IFERROR(_xludf.XLOOKUP(C3,'Agent Master'!$A:$A,'Agent Master'!$C:$C,"Missing"),"Missing")</f>
        <v>Missing</v>
      </c>
      <c r="L3" t="str">
        <f t="shared" ref="L3:L66" si="1">TEXT(B3,"mmmm")</f>
        <v>August</v>
      </c>
      <c r="M3" t="str">
        <f>_xlfn.XLOOKUP('Transaction Data'!D3,ProductMap[Product Code],ProductMap[Product Name])</f>
        <v>MATM</v>
      </c>
      <c r="N3" t="str">
        <f t="shared" ref="N3:N66" si="2">TEXT(B3,"yyyy-mm")</f>
        <v>2026-08</v>
      </c>
      <c r="O3" t="str" cm="1">
        <f t="array" ref="O3">IFERROR(_xlfn.XLOOKUP(C3,AgentMaster[[#All],[Agent ID]],AgentMaster[[#All],[Agent Name]]),"")</f>
        <v>Agent 107</v>
      </c>
      <c r="P3">
        <f t="shared" ref="P3:P66" si="3">COUNTIFS(O:O,O3,F:F,"Success")</f>
        <v>16</v>
      </c>
    </row>
    <row r="4" spans="1:18" x14ac:dyDescent="0.3">
      <c r="A4" t="s">
        <v>79</v>
      </c>
      <c r="B4" s="5">
        <v>46237</v>
      </c>
      <c r="C4" t="s">
        <v>80</v>
      </c>
      <c r="D4" t="s">
        <v>71</v>
      </c>
      <c r="E4">
        <v>1000</v>
      </c>
      <c r="F4" t="s">
        <v>72</v>
      </c>
      <c r="G4" t="s">
        <v>73</v>
      </c>
      <c r="H4" t="s">
        <v>81</v>
      </c>
      <c r="I4" t="str">
        <f t="shared" si="0"/>
        <v>2026-08</v>
      </c>
      <c r="J4" t="str">
        <f ca="1">IFERROR(_xludf.XLOOKUP(C4,'Agent Master'!$A:$A,'Agent Master'!$B:$B,"Missing"),"Missing")</f>
        <v>Missing</v>
      </c>
      <c r="K4" t="str">
        <f ca="1">IFERROR(_xludf.XLOOKUP(C4,'Agent Master'!$A:$A,'Agent Master'!$C:$C,"Missing"),"Missing")</f>
        <v>Missing</v>
      </c>
      <c r="L4" t="str">
        <f t="shared" si="1"/>
        <v>August</v>
      </c>
      <c r="M4" t="str">
        <f>_xlfn.XLOOKUP('Transaction Data'!D4,ProductMap[Product Code],ProductMap[Product Name])</f>
        <v>AEPS</v>
      </c>
      <c r="N4" t="str">
        <f t="shared" si="2"/>
        <v>2026-08</v>
      </c>
      <c r="O4" t="str" cm="1">
        <f t="array" ref="O4">IFERROR(_xlfn.XLOOKUP(C4,AgentMaster[[#All],[Agent ID]],AgentMaster[[#All],[Agent Name]]),"")</f>
        <v>Agent 102</v>
      </c>
      <c r="P4">
        <f t="shared" si="3"/>
        <v>13</v>
      </c>
      <c r="Q4" t="str" cm="1">
        <f t="array" ref="Q4:Q46">_xlfn.UNIQUE(C:C)</f>
        <v>Agent ID</v>
      </c>
    </row>
    <row r="5" spans="1:18" x14ac:dyDescent="0.3">
      <c r="A5" t="s">
        <v>82</v>
      </c>
      <c r="B5" s="5">
        <v>46270</v>
      </c>
      <c r="C5" t="s">
        <v>83</v>
      </c>
      <c r="D5" t="s">
        <v>77</v>
      </c>
      <c r="E5">
        <v>12500</v>
      </c>
      <c r="F5" t="s">
        <v>72</v>
      </c>
      <c r="G5" t="s">
        <v>84</v>
      </c>
      <c r="H5" t="s">
        <v>74</v>
      </c>
      <c r="I5" t="str">
        <f t="shared" si="0"/>
        <v>2026-09</v>
      </c>
      <c r="J5" t="str">
        <f ca="1">IFERROR(_xludf.XLOOKUP(C5,'Agent Master'!$A:$A,'Agent Master'!$B:$B,"Missing"),"Missing")</f>
        <v>Missing</v>
      </c>
      <c r="K5" t="str">
        <f ca="1">IFERROR(_xludf.XLOOKUP(C5,'Agent Master'!$A:$A,'Agent Master'!$C:$C,"Missing"),"Missing")</f>
        <v>Missing</v>
      </c>
      <c r="L5" t="str">
        <f t="shared" si="1"/>
        <v>September</v>
      </c>
      <c r="M5" t="str">
        <f>_xlfn.XLOOKUP('Transaction Data'!D5,ProductMap[Product Code],ProductMap[Product Name])</f>
        <v>MATM</v>
      </c>
      <c r="N5" t="str">
        <f t="shared" si="2"/>
        <v>2026-09</v>
      </c>
      <c r="O5" t="str" cm="1">
        <f t="array" ref="O5">IFERROR(_xlfn.XLOOKUP(C5,AgentMaster[[#All],[Agent ID]],AgentMaster[[#All],[Agent Name]]),"")</f>
        <v>Agent 113</v>
      </c>
      <c r="P5">
        <f t="shared" si="3"/>
        <v>12</v>
      </c>
      <c r="Q5" t="str">
        <v>A108</v>
      </c>
      <c r="R5">
        <f>IF(COUNTIFS(C:C,Q5,F:F,"Success")&gt;0,1,0)</f>
        <v>1</v>
      </c>
    </row>
    <row r="6" spans="1:18" x14ac:dyDescent="0.3">
      <c r="A6" t="s">
        <v>85</v>
      </c>
      <c r="B6" s="5">
        <v>46263</v>
      </c>
      <c r="C6" t="s">
        <v>86</v>
      </c>
      <c r="D6" t="s">
        <v>87</v>
      </c>
      <c r="E6">
        <v>20000</v>
      </c>
      <c r="F6" t="s">
        <v>72</v>
      </c>
      <c r="G6" t="s">
        <v>73</v>
      </c>
      <c r="H6" t="s">
        <v>78</v>
      </c>
      <c r="I6" t="str">
        <f t="shared" si="0"/>
        <v>2026-08</v>
      </c>
      <c r="J6" t="str">
        <f ca="1">IFERROR(_xludf.XLOOKUP(C6,'Agent Master'!$A:$A,'Agent Master'!$B:$B,"Missing"),"Missing")</f>
        <v>Missing</v>
      </c>
      <c r="K6" t="str">
        <f ca="1">IFERROR(_xludf.XLOOKUP(C6,'Agent Master'!$A:$A,'Agent Master'!$C:$C,"Missing"),"Missing")</f>
        <v>Missing</v>
      </c>
      <c r="L6" t="str">
        <f t="shared" si="1"/>
        <v>August</v>
      </c>
      <c r="M6" t="str">
        <f>_xlfn.XLOOKUP('Transaction Data'!D6,ProductMap[Product Code],ProductMap[Product Name])</f>
        <v>APAY</v>
      </c>
      <c r="N6" t="str">
        <f t="shared" si="2"/>
        <v>2026-08</v>
      </c>
      <c r="O6" t="str" cm="1">
        <f t="array" ref="O6">IFERROR(_xlfn.XLOOKUP(C6,AgentMaster[[#All],[Agent ID]],AgentMaster[[#All],[Agent Name]]),"")</f>
        <v>Agent 138</v>
      </c>
      <c r="P6">
        <f t="shared" si="3"/>
        <v>4</v>
      </c>
      <c r="Q6" t="str">
        <v>A107</v>
      </c>
      <c r="R6">
        <f t="shared" ref="R6:R46" si="4">IF(COUNTIFS(C:C,Q6,F:F,"Success")&gt;0,1,0)</f>
        <v>1</v>
      </c>
    </row>
    <row r="7" spans="1:18" x14ac:dyDescent="0.3">
      <c r="A7" t="s">
        <v>88</v>
      </c>
      <c r="B7" s="5">
        <v>46256</v>
      </c>
      <c r="C7" t="s">
        <v>89</v>
      </c>
      <c r="D7" t="s">
        <v>90</v>
      </c>
      <c r="E7">
        <v>1000</v>
      </c>
      <c r="F7" t="s">
        <v>72</v>
      </c>
      <c r="G7" t="s">
        <v>73</v>
      </c>
      <c r="H7" t="s">
        <v>81</v>
      </c>
      <c r="I7" t="str">
        <f t="shared" si="0"/>
        <v>2026-08</v>
      </c>
      <c r="J7" t="str">
        <f ca="1">IFERROR(_xludf.XLOOKUP(C7,'Agent Master'!$A:$A,'Agent Master'!$B:$B,"Missing"),"Missing")</f>
        <v>Missing</v>
      </c>
      <c r="K7" t="str">
        <f ca="1">IFERROR(_xludf.XLOOKUP(C7,'Agent Master'!$A:$A,'Agent Master'!$C:$C,"Missing"),"Missing")</f>
        <v>Missing</v>
      </c>
      <c r="L7" t="str">
        <f t="shared" si="1"/>
        <v>August</v>
      </c>
      <c r="M7" t="str">
        <f>_xlfn.XLOOKUP('Transaction Data'!D7,ProductMap[Product Code],ProductMap[Product Name])</f>
        <v>UPI</v>
      </c>
      <c r="N7" t="str">
        <f t="shared" si="2"/>
        <v>2026-08</v>
      </c>
      <c r="O7" t="str" cm="1">
        <f t="array" ref="O7">IFERROR(_xlfn.XLOOKUP(C7,AgentMaster[[#All],[Agent ID]],AgentMaster[[#All],[Agent Name]]),"")</f>
        <v>Agent 118</v>
      </c>
      <c r="P7">
        <f t="shared" si="3"/>
        <v>11</v>
      </c>
      <c r="Q7" t="str">
        <v>A102</v>
      </c>
      <c r="R7">
        <f t="shared" si="4"/>
        <v>1</v>
      </c>
    </row>
    <row r="8" spans="1:18" x14ac:dyDescent="0.3">
      <c r="A8" t="s">
        <v>91</v>
      </c>
      <c r="B8" s="5">
        <v>46259</v>
      </c>
      <c r="C8" t="s">
        <v>76</v>
      </c>
      <c r="D8" t="s">
        <v>87</v>
      </c>
      <c r="E8">
        <v>2000</v>
      </c>
      <c r="F8" t="s">
        <v>92</v>
      </c>
      <c r="G8" t="s">
        <v>84</v>
      </c>
      <c r="H8" t="s">
        <v>81</v>
      </c>
      <c r="I8" t="str">
        <f t="shared" si="0"/>
        <v>2026-08</v>
      </c>
      <c r="J8" t="str">
        <f ca="1">IFERROR(_xludf.XLOOKUP(C8,'Agent Master'!$A:$A,'Agent Master'!$B:$B,"Missing"),"Missing")</f>
        <v>Missing</v>
      </c>
      <c r="K8" t="str">
        <f ca="1">IFERROR(_xludf.XLOOKUP(C8,'Agent Master'!$A:$A,'Agent Master'!$C:$C,"Missing"),"Missing")</f>
        <v>Missing</v>
      </c>
      <c r="L8" t="str">
        <f t="shared" si="1"/>
        <v>August</v>
      </c>
      <c r="M8" t="str">
        <f>_xlfn.XLOOKUP('Transaction Data'!D8,ProductMap[Product Code],ProductMap[Product Name])</f>
        <v>APAY</v>
      </c>
      <c r="N8" t="str">
        <f t="shared" si="2"/>
        <v>2026-08</v>
      </c>
      <c r="O8" t="str" cm="1">
        <f t="array" ref="O8">IFERROR(_xlfn.XLOOKUP(C8,AgentMaster[[#All],[Agent ID]],AgentMaster[[#All],[Agent Name]]),"")</f>
        <v>Agent 107</v>
      </c>
      <c r="P8">
        <f t="shared" si="3"/>
        <v>16</v>
      </c>
      <c r="Q8" t="str">
        <v>A113</v>
      </c>
      <c r="R8">
        <f t="shared" si="4"/>
        <v>1</v>
      </c>
    </row>
    <row r="9" spans="1:18" x14ac:dyDescent="0.3">
      <c r="A9" t="s">
        <v>93</v>
      </c>
      <c r="B9" s="5">
        <v>46281</v>
      </c>
      <c r="C9" t="s">
        <v>94</v>
      </c>
      <c r="D9" t="s">
        <v>95</v>
      </c>
      <c r="E9">
        <v>500</v>
      </c>
      <c r="F9" t="s">
        <v>72</v>
      </c>
      <c r="G9" t="s">
        <v>73</v>
      </c>
      <c r="H9" t="s">
        <v>96</v>
      </c>
      <c r="I9" t="str">
        <f t="shared" si="0"/>
        <v>2026-09</v>
      </c>
      <c r="J9" t="str">
        <f ca="1">IFERROR(_xludf.XLOOKUP(C9,'Agent Master'!$A:$A,'Agent Master'!$B:$B,"Missing"),"Missing")</f>
        <v>Missing</v>
      </c>
      <c r="K9" t="str">
        <f ca="1">IFERROR(_xludf.XLOOKUP(C9,'Agent Master'!$A:$A,'Agent Master'!$C:$C,"Missing"),"Missing")</f>
        <v>Missing</v>
      </c>
      <c r="L9" t="str">
        <f t="shared" si="1"/>
        <v>September</v>
      </c>
      <c r="M9" t="str">
        <f>_xlfn.XLOOKUP('Transaction Data'!D9,ProductMap[Product Code],ProductMap[Product Name])</f>
        <v>BBPS</v>
      </c>
      <c r="N9" t="str">
        <f t="shared" si="2"/>
        <v>2026-09</v>
      </c>
      <c r="O9" t="str" cm="1">
        <f t="array" ref="O9">IFERROR(_xlfn.XLOOKUP(C9,AgentMaster[[#All],[Agent ID]],AgentMaster[[#All],[Agent Name]]),"")</f>
        <v>Agent 130</v>
      </c>
      <c r="P9">
        <f t="shared" si="3"/>
        <v>16</v>
      </c>
      <c r="Q9" t="str">
        <v>A138</v>
      </c>
      <c r="R9">
        <f t="shared" si="4"/>
        <v>1</v>
      </c>
    </row>
    <row r="10" spans="1:18" x14ac:dyDescent="0.3">
      <c r="A10" t="s">
        <v>97</v>
      </c>
      <c r="B10" s="5">
        <v>46288</v>
      </c>
      <c r="C10" t="s">
        <v>98</v>
      </c>
      <c r="D10" t="s">
        <v>95</v>
      </c>
      <c r="E10">
        <v>2000</v>
      </c>
      <c r="F10" t="s">
        <v>92</v>
      </c>
      <c r="G10" t="s">
        <v>73</v>
      </c>
      <c r="H10" t="s">
        <v>81</v>
      </c>
      <c r="I10" t="str">
        <f t="shared" si="0"/>
        <v>2026-09</v>
      </c>
      <c r="J10" t="str">
        <f ca="1">IFERROR(_xludf.XLOOKUP(C10,'Agent Master'!$A:$A,'Agent Master'!$B:$B,"Missing"),"Missing")</f>
        <v>Missing</v>
      </c>
      <c r="K10" t="str">
        <f ca="1">IFERROR(_xludf.XLOOKUP(C10,'Agent Master'!$A:$A,'Agent Master'!$C:$C,"Missing"),"Missing")</f>
        <v>Missing</v>
      </c>
      <c r="L10" t="str">
        <f t="shared" si="1"/>
        <v>September</v>
      </c>
      <c r="M10" t="str">
        <f>_xlfn.XLOOKUP('Transaction Data'!D10,ProductMap[Product Code],ProductMap[Product Name])</f>
        <v>BBPS</v>
      </c>
      <c r="N10" t="str">
        <f t="shared" si="2"/>
        <v>2026-09</v>
      </c>
      <c r="O10" t="str" cm="1">
        <f t="array" ref="O10">IFERROR(_xlfn.XLOOKUP(C10,AgentMaster[[#All],[Agent ID]],AgentMaster[[#All],[Agent Name]]),"")</f>
        <v/>
      </c>
      <c r="P10">
        <f t="shared" si="3"/>
        <v>25</v>
      </c>
      <c r="Q10" t="str">
        <v>A118</v>
      </c>
      <c r="R10">
        <f t="shared" si="4"/>
        <v>1</v>
      </c>
    </row>
    <row r="11" spans="1:18" x14ac:dyDescent="0.3">
      <c r="A11" t="s">
        <v>99</v>
      </c>
      <c r="B11" s="5">
        <v>46237</v>
      </c>
      <c r="C11" t="s">
        <v>100</v>
      </c>
      <c r="D11" t="s">
        <v>87</v>
      </c>
      <c r="E11">
        <v>500</v>
      </c>
      <c r="F11" t="s">
        <v>72</v>
      </c>
      <c r="G11" t="s">
        <v>73</v>
      </c>
      <c r="H11" t="s">
        <v>78</v>
      </c>
      <c r="I11" t="str">
        <f t="shared" si="0"/>
        <v>2026-08</v>
      </c>
      <c r="J11" t="str">
        <f ca="1">IFERROR(_xludf.XLOOKUP(C11,'Agent Master'!$A:$A,'Agent Master'!$B:$B,"Missing"),"Missing")</f>
        <v>Missing</v>
      </c>
      <c r="K11" t="str">
        <f ca="1">IFERROR(_xludf.XLOOKUP(C11,'Agent Master'!$A:$A,'Agent Master'!$C:$C,"Missing"),"Missing")</f>
        <v>Missing</v>
      </c>
      <c r="L11" t="str">
        <f t="shared" si="1"/>
        <v>August</v>
      </c>
      <c r="M11" t="str">
        <f>_xlfn.XLOOKUP('Transaction Data'!D11,ProductMap[Product Code],ProductMap[Product Name])</f>
        <v>APAY</v>
      </c>
      <c r="N11" t="str">
        <f t="shared" si="2"/>
        <v>2026-08</v>
      </c>
      <c r="O11" t="str" cm="1">
        <f t="array" ref="O11">IFERROR(_xlfn.XLOOKUP(C11,AgentMaster[[#All],[Agent ID]],AgentMaster[[#All],[Agent Name]]),"")</f>
        <v>Agent 115</v>
      </c>
      <c r="P11">
        <f t="shared" si="3"/>
        <v>11</v>
      </c>
      <c r="Q11" t="str">
        <v>A130</v>
      </c>
      <c r="R11">
        <f t="shared" si="4"/>
        <v>1</v>
      </c>
    </row>
    <row r="12" spans="1:18" x14ac:dyDescent="0.3">
      <c r="A12" t="s">
        <v>101</v>
      </c>
      <c r="B12" s="5">
        <v>46252</v>
      </c>
      <c r="C12" t="s">
        <v>94</v>
      </c>
      <c r="D12" t="s">
        <v>77</v>
      </c>
      <c r="E12">
        <v>2000</v>
      </c>
      <c r="F12" t="s">
        <v>72</v>
      </c>
      <c r="G12" t="s">
        <v>84</v>
      </c>
      <c r="H12" t="s">
        <v>96</v>
      </c>
      <c r="I12" t="str">
        <f t="shared" si="0"/>
        <v>2026-08</v>
      </c>
      <c r="J12" t="str">
        <f ca="1">IFERROR(_xludf.XLOOKUP(C12,'Agent Master'!$A:$A,'Agent Master'!$B:$B,"Missing"),"Missing")</f>
        <v>Missing</v>
      </c>
      <c r="K12" t="str">
        <f ca="1">IFERROR(_xludf.XLOOKUP(C12,'Agent Master'!$A:$A,'Agent Master'!$C:$C,"Missing"),"Missing")</f>
        <v>Missing</v>
      </c>
      <c r="L12" t="str">
        <f t="shared" si="1"/>
        <v>August</v>
      </c>
      <c r="M12" t="str">
        <f>_xlfn.XLOOKUP('Transaction Data'!D12,ProductMap[Product Code],ProductMap[Product Name])</f>
        <v>MATM</v>
      </c>
      <c r="N12" t="str">
        <f t="shared" si="2"/>
        <v>2026-08</v>
      </c>
      <c r="O12" t="str" cm="1">
        <f t="array" ref="O12">IFERROR(_xlfn.XLOOKUP(C12,AgentMaster[[#All],[Agent ID]],AgentMaster[[#All],[Agent Name]]),"")</f>
        <v>Agent 130</v>
      </c>
      <c r="P12">
        <f t="shared" si="3"/>
        <v>16</v>
      </c>
      <c r="Q12" t="str">
        <v>A999</v>
      </c>
      <c r="R12">
        <f t="shared" si="4"/>
        <v>1</v>
      </c>
    </row>
    <row r="13" spans="1:18" x14ac:dyDescent="0.3">
      <c r="A13" t="s">
        <v>102</v>
      </c>
      <c r="B13" s="5">
        <v>46248</v>
      </c>
      <c r="C13" t="s">
        <v>89</v>
      </c>
      <c r="D13" t="s">
        <v>77</v>
      </c>
      <c r="E13">
        <v>12500</v>
      </c>
      <c r="F13" t="s">
        <v>72</v>
      </c>
      <c r="G13" t="s">
        <v>73</v>
      </c>
      <c r="H13" t="s">
        <v>74</v>
      </c>
      <c r="I13" t="str">
        <f t="shared" si="0"/>
        <v>2026-08</v>
      </c>
      <c r="J13" t="str">
        <f ca="1">IFERROR(_xludf.XLOOKUP(C13,'Agent Master'!$A:$A,'Agent Master'!$B:$B,"Missing"),"Missing")</f>
        <v>Missing</v>
      </c>
      <c r="K13" t="str">
        <f ca="1">IFERROR(_xludf.XLOOKUP(C13,'Agent Master'!$A:$A,'Agent Master'!$C:$C,"Missing"),"Missing")</f>
        <v>Missing</v>
      </c>
      <c r="L13" t="str">
        <f t="shared" si="1"/>
        <v>August</v>
      </c>
      <c r="M13" t="str">
        <f>_xlfn.XLOOKUP('Transaction Data'!D13,ProductMap[Product Code],ProductMap[Product Name])</f>
        <v>MATM</v>
      </c>
      <c r="N13" t="str">
        <f t="shared" si="2"/>
        <v>2026-08</v>
      </c>
      <c r="O13" t="str" cm="1">
        <f t="array" ref="O13">IFERROR(_xlfn.XLOOKUP(C13,AgentMaster[[#All],[Agent ID]],AgentMaster[[#All],[Agent Name]]),"")</f>
        <v>Agent 118</v>
      </c>
      <c r="P13">
        <f t="shared" si="3"/>
        <v>11</v>
      </c>
      <c r="Q13" t="str">
        <v>A115</v>
      </c>
      <c r="R13">
        <f t="shared" si="4"/>
        <v>1</v>
      </c>
    </row>
    <row r="14" spans="1:18" x14ac:dyDescent="0.3">
      <c r="A14" t="s">
        <v>103</v>
      </c>
      <c r="B14" s="5">
        <v>46269</v>
      </c>
      <c r="C14" t="s">
        <v>104</v>
      </c>
      <c r="D14" t="s">
        <v>90</v>
      </c>
      <c r="E14">
        <v>5000</v>
      </c>
      <c r="F14" t="s">
        <v>72</v>
      </c>
      <c r="G14" t="s">
        <v>84</v>
      </c>
      <c r="H14" t="s">
        <v>74</v>
      </c>
      <c r="I14" t="str">
        <f t="shared" si="0"/>
        <v>2026-09</v>
      </c>
      <c r="J14" t="str">
        <f ca="1">IFERROR(_xludf.XLOOKUP(C14,'Agent Master'!$A:$A,'Agent Master'!$B:$B,"Missing"),"Missing")</f>
        <v>Missing</v>
      </c>
      <c r="K14" t="str">
        <f ca="1">IFERROR(_xludf.XLOOKUP(C14,'Agent Master'!$A:$A,'Agent Master'!$C:$C,"Missing"),"Missing")</f>
        <v>Missing</v>
      </c>
      <c r="L14" t="str">
        <f t="shared" si="1"/>
        <v>September</v>
      </c>
      <c r="M14" t="str">
        <f>_xlfn.XLOOKUP('Transaction Data'!D14,ProductMap[Product Code],ProductMap[Product Name])</f>
        <v>UPI</v>
      </c>
      <c r="N14" t="str">
        <f t="shared" si="2"/>
        <v>2026-09</v>
      </c>
      <c r="O14" t="str" cm="1">
        <f t="array" ref="O14">IFERROR(_xlfn.XLOOKUP(C14,AgentMaster[[#All],[Agent ID]],AgentMaster[[#All],[Agent Name]]),"")</f>
        <v>Agent 116</v>
      </c>
      <c r="P14">
        <f t="shared" si="3"/>
        <v>15</v>
      </c>
      <c r="Q14" t="str">
        <v>A116</v>
      </c>
      <c r="R14">
        <f t="shared" si="4"/>
        <v>1</v>
      </c>
    </row>
    <row r="15" spans="1:18" x14ac:dyDescent="0.3">
      <c r="A15" t="s">
        <v>105</v>
      </c>
      <c r="B15" s="5">
        <v>46278</v>
      </c>
      <c r="C15" t="s">
        <v>106</v>
      </c>
      <c r="D15" t="s">
        <v>71</v>
      </c>
      <c r="E15">
        <v>1000</v>
      </c>
      <c r="F15" t="s">
        <v>72</v>
      </c>
      <c r="G15" t="s">
        <v>84</v>
      </c>
      <c r="H15" t="s">
        <v>78</v>
      </c>
      <c r="I15" t="str">
        <f t="shared" si="0"/>
        <v>2026-09</v>
      </c>
      <c r="J15" t="str">
        <f ca="1">IFERROR(_xludf.XLOOKUP(C15,'Agent Master'!$A:$A,'Agent Master'!$B:$B,"Missing"),"Missing")</f>
        <v>Missing</v>
      </c>
      <c r="K15" t="str">
        <f ca="1">IFERROR(_xludf.XLOOKUP(C15,'Agent Master'!$A:$A,'Agent Master'!$C:$C,"Missing"),"Missing")</f>
        <v>Missing</v>
      </c>
      <c r="L15" t="str">
        <f t="shared" si="1"/>
        <v>September</v>
      </c>
      <c r="M15" t="str">
        <f>_xlfn.XLOOKUP('Transaction Data'!D15,ProductMap[Product Code],ProductMap[Product Name])</f>
        <v>AEPS</v>
      </c>
      <c r="N15" t="str">
        <f t="shared" si="2"/>
        <v>2026-09</v>
      </c>
      <c r="O15" t="str" cm="1">
        <f t="array" ref="O15">IFERROR(_xlfn.XLOOKUP(C15,AgentMaster[[#All],[Agent ID]],AgentMaster[[#All],[Agent Name]]),"")</f>
        <v>Agent 121</v>
      </c>
      <c r="P15">
        <f t="shared" si="3"/>
        <v>7</v>
      </c>
      <c r="Q15" t="str">
        <v>A121</v>
      </c>
      <c r="R15">
        <f t="shared" si="4"/>
        <v>1</v>
      </c>
    </row>
    <row r="16" spans="1:18" x14ac:dyDescent="0.3">
      <c r="A16" t="s">
        <v>107</v>
      </c>
      <c r="B16" s="5">
        <v>46252</v>
      </c>
      <c r="C16" t="s">
        <v>108</v>
      </c>
      <c r="D16" t="s">
        <v>90</v>
      </c>
      <c r="E16">
        <v>10000</v>
      </c>
      <c r="F16" t="s">
        <v>72</v>
      </c>
      <c r="G16" t="s">
        <v>73</v>
      </c>
      <c r="H16" t="s">
        <v>78</v>
      </c>
      <c r="I16" t="str">
        <f t="shared" si="0"/>
        <v>2026-08</v>
      </c>
      <c r="J16" t="str">
        <f ca="1">IFERROR(_xludf.XLOOKUP(C16,'Agent Master'!$A:$A,'Agent Master'!$B:$B,"Missing"),"Missing")</f>
        <v>Missing</v>
      </c>
      <c r="K16" t="str">
        <f ca="1">IFERROR(_xludf.XLOOKUP(C16,'Agent Master'!$A:$A,'Agent Master'!$C:$C,"Missing"),"Missing")</f>
        <v>Missing</v>
      </c>
      <c r="L16" t="str">
        <f t="shared" si="1"/>
        <v>August</v>
      </c>
      <c r="M16" t="str">
        <f>_xlfn.XLOOKUP('Transaction Data'!D16,ProductMap[Product Code],ProductMap[Product Name])</f>
        <v>UPI</v>
      </c>
      <c r="N16" t="str">
        <f t="shared" si="2"/>
        <v>2026-08</v>
      </c>
      <c r="O16" t="str" cm="1">
        <f t="array" ref="O16">IFERROR(_xlfn.XLOOKUP(C16,AgentMaster[[#All],[Agent ID]],AgentMaster[[#All],[Agent Name]]),"")</f>
        <v>Agent 105</v>
      </c>
      <c r="P16">
        <f t="shared" si="3"/>
        <v>8</v>
      </c>
      <c r="Q16" t="str">
        <v>A105</v>
      </c>
      <c r="R16">
        <f t="shared" si="4"/>
        <v>1</v>
      </c>
    </row>
    <row r="17" spans="1:18" x14ac:dyDescent="0.3">
      <c r="A17" t="s">
        <v>109</v>
      </c>
      <c r="B17" s="5">
        <v>46260</v>
      </c>
      <c r="D17" t="s">
        <v>110</v>
      </c>
      <c r="E17">
        <v>750</v>
      </c>
      <c r="F17" t="s">
        <v>72</v>
      </c>
      <c r="G17" t="s">
        <v>73</v>
      </c>
      <c r="H17" t="s">
        <v>74</v>
      </c>
      <c r="I17" t="str">
        <f t="shared" si="0"/>
        <v>2026-08</v>
      </c>
      <c r="J17" t="str">
        <f ca="1">IFERROR(_xludf.XLOOKUP(C17,'Agent Master'!$A:$A,'Agent Master'!$B:$B,"Missing"),"Missing")</f>
        <v>Missing</v>
      </c>
      <c r="K17" t="str">
        <f ca="1">IFERROR(_xludf.XLOOKUP(C17,'Agent Master'!$A:$A,'Agent Master'!$C:$C,"Missing"),"Missing")</f>
        <v>Missing</v>
      </c>
      <c r="L17" t="str">
        <f t="shared" si="1"/>
        <v>August</v>
      </c>
      <c r="M17" t="str">
        <f>_xlfn.XLOOKUP('Transaction Data'!D17,ProductMap[Product Code],ProductMap[Product Name])</f>
        <v>DMT</v>
      </c>
      <c r="N17" t="str">
        <f t="shared" si="2"/>
        <v>2026-08</v>
      </c>
      <c r="O17" t="str" cm="1">
        <f t="array" ref="O17">IFERROR(_xlfn.XLOOKUP(C17,AgentMaster[[#All],[Agent ID]],AgentMaster[[#All],[Agent Name]]),"")</f>
        <v/>
      </c>
      <c r="P17">
        <f t="shared" si="3"/>
        <v>25</v>
      </c>
      <c r="Q17">
        <v>0</v>
      </c>
      <c r="R17">
        <f t="shared" si="4"/>
        <v>0</v>
      </c>
    </row>
    <row r="18" spans="1:18" x14ac:dyDescent="0.3">
      <c r="A18" t="s">
        <v>111</v>
      </c>
      <c r="B18" s="5">
        <v>46282</v>
      </c>
      <c r="C18" t="s">
        <v>112</v>
      </c>
      <c r="D18" t="s">
        <v>95</v>
      </c>
      <c r="E18">
        <v>1500</v>
      </c>
      <c r="F18" t="s">
        <v>92</v>
      </c>
      <c r="G18" t="s">
        <v>84</v>
      </c>
      <c r="H18" t="s">
        <v>78</v>
      </c>
      <c r="I18" t="str">
        <f t="shared" si="0"/>
        <v>2026-09</v>
      </c>
      <c r="J18" t="str">
        <f ca="1">IFERROR(_xludf.XLOOKUP(C18,'Agent Master'!$A:$A,'Agent Master'!$B:$B,"Missing"),"Missing")</f>
        <v>Missing</v>
      </c>
      <c r="K18" t="str">
        <f ca="1">IFERROR(_xludf.XLOOKUP(C18,'Agent Master'!$A:$A,'Agent Master'!$C:$C,"Missing"),"Missing")</f>
        <v>Missing</v>
      </c>
      <c r="L18" t="str">
        <f t="shared" si="1"/>
        <v>September</v>
      </c>
      <c r="M18" t="str">
        <f>_xlfn.XLOOKUP('Transaction Data'!D18,ProductMap[Product Code],ProductMap[Product Name])</f>
        <v>BBPS</v>
      </c>
      <c r="N18" t="str">
        <f t="shared" si="2"/>
        <v>2026-09</v>
      </c>
      <c r="O18" t="str" cm="1">
        <f t="array" ref="O18">IFERROR(_xlfn.XLOOKUP(C18,AgentMaster[[#All],[Agent ID]],AgentMaster[[#All],[Agent Name]]),"")</f>
        <v>Agent 136</v>
      </c>
      <c r="P18">
        <f t="shared" si="3"/>
        <v>16</v>
      </c>
      <c r="Q18" t="str">
        <v>A136</v>
      </c>
      <c r="R18">
        <f t="shared" si="4"/>
        <v>1</v>
      </c>
    </row>
    <row r="19" spans="1:18" x14ac:dyDescent="0.3">
      <c r="A19" t="s">
        <v>113</v>
      </c>
      <c r="B19" s="5">
        <v>46258</v>
      </c>
      <c r="C19" t="s">
        <v>100</v>
      </c>
      <c r="D19" t="s">
        <v>90</v>
      </c>
      <c r="E19">
        <v>7500</v>
      </c>
      <c r="F19" t="s">
        <v>72</v>
      </c>
      <c r="G19" t="s">
        <v>73</v>
      </c>
      <c r="H19" t="s">
        <v>81</v>
      </c>
      <c r="I19" t="str">
        <f t="shared" si="0"/>
        <v>2026-08</v>
      </c>
      <c r="J19" t="str">
        <f ca="1">IFERROR(_xludf.XLOOKUP(C19,'Agent Master'!$A:$A,'Agent Master'!$B:$B,"Missing"),"Missing")</f>
        <v>Missing</v>
      </c>
      <c r="K19" t="str">
        <f ca="1">IFERROR(_xludf.XLOOKUP(C19,'Agent Master'!$A:$A,'Agent Master'!$C:$C,"Missing"),"Missing")</f>
        <v>Missing</v>
      </c>
      <c r="L19" t="str">
        <f t="shared" si="1"/>
        <v>August</v>
      </c>
      <c r="M19" t="str">
        <f>_xlfn.XLOOKUP('Transaction Data'!D19,ProductMap[Product Code],ProductMap[Product Name])</f>
        <v>UPI</v>
      </c>
      <c r="N19" t="str">
        <f t="shared" si="2"/>
        <v>2026-08</v>
      </c>
      <c r="O19" t="str" cm="1">
        <f t="array" ref="O19">IFERROR(_xlfn.XLOOKUP(C19,AgentMaster[[#All],[Agent ID]],AgentMaster[[#All],[Agent Name]]),"")</f>
        <v>Agent 115</v>
      </c>
      <c r="P19">
        <f t="shared" si="3"/>
        <v>11</v>
      </c>
      <c r="Q19" t="str">
        <v>A101</v>
      </c>
      <c r="R19">
        <f t="shared" si="4"/>
        <v>1</v>
      </c>
    </row>
    <row r="20" spans="1:18" x14ac:dyDescent="0.3">
      <c r="A20" t="s">
        <v>114</v>
      </c>
      <c r="B20" s="5">
        <v>46290</v>
      </c>
      <c r="C20" t="s">
        <v>70</v>
      </c>
      <c r="D20" t="s">
        <v>90</v>
      </c>
      <c r="E20">
        <v>12500</v>
      </c>
      <c r="F20" t="s">
        <v>72</v>
      </c>
      <c r="G20" t="s">
        <v>73</v>
      </c>
      <c r="H20" t="s">
        <v>78</v>
      </c>
      <c r="I20" t="str">
        <f t="shared" si="0"/>
        <v>2026-09</v>
      </c>
      <c r="J20" t="str">
        <f ca="1">IFERROR(_xludf.XLOOKUP(C20,'Agent Master'!$A:$A,'Agent Master'!$B:$B,"Missing"),"Missing")</f>
        <v>Missing</v>
      </c>
      <c r="K20" t="str">
        <f ca="1">IFERROR(_xludf.XLOOKUP(C20,'Agent Master'!$A:$A,'Agent Master'!$C:$C,"Missing"),"Missing")</f>
        <v>Missing</v>
      </c>
      <c r="L20" t="str">
        <f t="shared" si="1"/>
        <v>September</v>
      </c>
      <c r="M20" t="str">
        <f>_xlfn.XLOOKUP('Transaction Data'!D20,ProductMap[Product Code],ProductMap[Product Name])</f>
        <v>UPI</v>
      </c>
      <c r="N20" t="str">
        <f t="shared" si="2"/>
        <v>2026-09</v>
      </c>
      <c r="O20" t="str" cm="1">
        <f t="array" ref="O20">IFERROR(_xlfn.XLOOKUP(C20,AgentMaster[[#All],[Agent ID]],AgentMaster[[#All],[Agent Name]]),"")</f>
        <v>Agent 108</v>
      </c>
      <c r="P20">
        <f t="shared" si="3"/>
        <v>12</v>
      </c>
      <c r="Q20" t="str">
        <v>A124</v>
      </c>
      <c r="R20">
        <f t="shared" si="4"/>
        <v>1</v>
      </c>
    </row>
    <row r="21" spans="1:18" x14ac:dyDescent="0.3">
      <c r="A21" t="s">
        <v>115</v>
      </c>
      <c r="B21" s="5">
        <v>46273</v>
      </c>
      <c r="C21" t="s">
        <v>108</v>
      </c>
      <c r="D21" t="s">
        <v>110</v>
      </c>
      <c r="E21">
        <v>2500</v>
      </c>
      <c r="F21" t="s">
        <v>92</v>
      </c>
      <c r="G21" t="s">
        <v>84</v>
      </c>
      <c r="H21" t="s">
        <v>96</v>
      </c>
      <c r="I21" t="str">
        <f t="shared" si="0"/>
        <v>2026-09</v>
      </c>
      <c r="J21" t="str">
        <f ca="1">IFERROR(_xludf.XLOOKUP(C21,'Agent Master'!$A:$A,'Agent Master'!$B:$B,"Missing"),"Missing")</f>
        <v>Missing</v>
      </c>
      <c r="K21" t="str">
        <f ca="1">IFERROR(_xludf.XLOOKUP(C21,'Agent Master'!$A:$A,'Agent Master'!$C:$C,"Missing"),"Missing")</f>
        <v>Missing</v>
      </c>
      <c r="L21" t="str">
        <f t="shared" si="1"/>
        <v>September</v>
      </c>
      <c r="M21" t="str">
        <f>_xlfn.XLOOKUP('Transaction Data'!D21,ProductMap[Product Code],ProductMap[Product Name])</f>
        <v>DMT</v>
      </c>
      <c r="N21" t="str">
        <f t="shared" si="2"/>
        <v>2026-09</v>
      </c>
      <c r="O21" t="str" cm="1">
        <f t="array" ref="O21">IFERROR(_xlfn.XLOOKUP(C21,AgentMaster[[#All],[Agent ID]],AgentMaster[[#All],[Agent Name]]),"")</f>
        <v>Agent 105</v>
      </c>
      <c r="P21">
        <f t="shared" si="3"/>
        <v>8</v>
      </c>
      <c r="Q21" t="str">
        <v>A137</v>
      </c>
      <c r="R21">
        <f t="shared" si="4"/>
        <v>1</v>
      </c>
    </row>
    <row r="22" spans="1:18" x14ac:dyDescent="0.3">
      <c r="A22" t="s">
        <v>116</v>
      </c>
      <c r="B22" s="5">
        <v>46270</v>
      </c>
      <c r="C22" t="s">
        <v>117</v>
      </c>
      <c r="D22" t="s">
        <v>77</v>
      </c>
      <c r="E22">
        <v>15000</v>
      </c>
      <c r="F22" t="s">
        <v>72</v>
      </c>
      <c r="G22" t="s">
        <v>73</v>
      </c>
      <c r="H22" t="s">
        <v>96</v>
      </c>
      <c r="I22" t="str">
        <f t="shared" si="0"/>
        <v>2026-09</v>
      </c>
      <c r="J22" t="str">
        <f ca="1">IFERROR(_xludf.XLOOKUP(C22,'Agent Master'!$A:$A,'Agent Master'!$B:$B,"Missing"),"Missing")</f>
        <v>Missing</v>
      </c>
      <c r="K22" t="str">
        <f ca="1">IFERROR(_xludf.XLOOKUP(C22,'Agent Master'!$A:$A,'Agent Master'!$C:$C,"Missing"),"Missing")</f>
        <v>Missing</v>
      </c>
      <c r="L22" t="str">
        <f t="shared" si="1"/>
        <v>September</v>
      </c>
      <c r="M22" t="str">
        <f>_xlfn.XLOOKUP('Transaction Data'!D22,ProductMap[Product Code],ProductMap[Product Name])</f>
        <v>MATM</v>
      </c>
      <c r="N22" t="str">
        <f t="shared" si="2"/>
        <v>2026-09</v>
      </c>
      <c r="O22" t="str" cm="1">
        <f t="array" ref="O22">IFERROR(_xlfn.XLOOKUP(C22,AgentMaster[[#All],[Agent ID]],AgentMaster[[#All],[Agent Name]]),"")</f>
        <v>Agent 101</v>
      </c>
      <c r="P22">
        <f t="shared" si="3"/>
        <v>6</v>
      </c>
      <c r="Q22" t="str">
        <v>A131</v>
      </c>
      <c r="R22">
        <f t="shared" si="4"/>
        <v>1</v>
      </c>
    </row>
    <row r="23" spans="1:18" x14ac:dyDescent="0.3">
      <c r="A23" t="s">
        <v>118</v>
      </c>
      <c r="B23" s="5">
        <v>46284</v>
      </c>
      <c r="D23" t="s">
        <v>87</v>
      </c>
      <c r="E23">
        <v>500</v>
      </c>
      <c r="F23" t="s">
        <v>72</v>
      </c>
      <c r="G23" t="s">
        <v>84</v>
      </c>
      <c r="H23" t="s">
        <v>74</v>
      </c>
      <c r="I23" t="str">
        <f t="shared" si="0"/>
        <v>2026-09</v>
      </c>
      <c r="J23" t="str">
        <f ca="1">IFERROR(_xludf.XLOOKUP(C23,'Agent Master'!$A:$A,'Agent Master'!$B:$B,"Missing"),"Missing")</f>
        <v>Missing</v>
      </c>
      <c r="K23" t="str">
        <f ca="1">IFERROR(_xludf.XLOOKUP(C23,'Agent Master'!$A:$A,'Agent Master'!$C:$C,"Missing"),"Missing")</f>
        <v>Missing</v>
      </c>
      <c r="L23" t="str">
        <f t="shared" si="1"/>
        <v>September</v>
      </c>
      <c r="M23" t="str">
        <f>_xlfn.XLOOKUP('Transaction Data'!D23,ProductMap[Product Code],ProductMap[Product Name])</f>
        <v>APAY</v>
      </c>
      <c r="N23" t="str">
        <f t="shared" si="2"/>
        <v>2026-09</v>
      </c>
      <c r="O23" t="str" cm="1">
        <f t="array" ref="O23">IFERROR(_xlfn.XLOOKUP(C23,AgentMaster[[#All],[Agent ID]],AgentMaster[[#All],[Agent Name]]),"")</f>
        <v/>
      </c>
      <c r="P23">
        <f t="shared" si="3"/>
        <v>25</v>
      </c>
      <c r="Q23" t="str">
        <v>A135</v>
      </c>
      <c r="R23">
        <f t="shared" si="4"/>
        <v>1</v>
      </c>
    </row>
    <row r="24" spans="1:18" x14ac:dyDescent="0.3">
      <c r="A24" t="s">
        <v>119</v>
      </c>
      <c r="B24" s="5">
        <v>46264</v>
      </c>
      <c r="C24" t="s">
        <v>117</v>
      </c>
      <c r="D24" t="s">
        <v>77</v>
      </c>
      <c r="E24">
        <v>15000</v>
      </c>
      <c r="F24" t="s">
        <v>72</v>
      </c>
      <c r="G24" t="s">
        <v>73</v>
      </c>
      <c r="H24" t="s">
        <v>74</v>
      </c>
      <c r="I24" t="str">
        <f t="shared" si="0"/>
        <v>2026-08</v>
      </c>
      <c r="J24" t="str">
        <f ca="1">IFERROR(_xludf.XLOOKUP(C24,'Agent Master'!$A:$A,'Agent Master'!$B:$B,"Missing"),"Missing")</f>
        <v>Missing</v>
      </c>
      <c r="K24" t="str">
        <f ca="1">IFERROR(_xludf.XLOOKUP(C24,'Agent Master'!$A:$A,'Agent Master'!$C:$C,"Missing"),"Missing")</f>
        <v>Missing</v>
      </c>
      <c r="L24" t="str">
        <f t="shared" si="1"/>
        <v>August</v>
      </c>
      <c r="M24" t="str">
        <f>_xlfn.XLOOKUP('Transaction Data'!D24,ProductMap[Product Code],ProductMap[Product Name])</f>
        <v>MATM</v>
      </c>
      <c r="N24" t="str">
        <f t="shared" si="2"/>
        <v>2026-08</v>
      </c>
      <c r="O24" t="str" cm="1">
        <f t="array" ref="O24">IFERROR(_xlfn.XLOOKUP(C24,AgentMaster[[#All],[Agent ID]],AgentMaster[[#All],[Agent Name]]),"")</f>
        <v>Agent 101</v>
      </c>
      <c r="P24">
        <f t="shared" si="3"/>
        <v>6</v>
      </c>
      <c r="Q24" t="str">
        <v>A103</v>
      </c>
      <c r="R24">
        <f t="shared" si="4"/>
        <v>1</v>
      </c>
    </row>
    <row r="25" spans="1:18" x14ac:dyDescent="0.3">
      <c r="A25" t="s">
        <v>120</v>
      </c>
      <c r="B25" s="5">
        <v>46267</v>
      </c>
      <c r="C25" t="s">
        <v>76</v>
      </c>
      <c r="D25" t="s">
        <v>77</v>
      </c>
      <c r="E25">
        <v>1500</v>
      </c>
      <c r="F25" t="s">
        <v>72</v>
      </c>
      <c r="G25" t="s">
        <v>73</v>
      </c>
      <c r="H25" t="s">
        <v>74</v>
      </c>
      <c r="I25" t="str">
        <f t="shared" si="0"/>
        <v>2026-09</v>
      </c>
      <c r="J25" t="str">
        <f ca="1">IFERROR(_xludf.XLOOKUP(C25,'Agent Master'!$A:$A,'Agent Master'!$B:$B,"Missing"),"Missing")</f>
        <v>Missing</v>
      </c>
      <c r="K25" t="str">
        <f ca="1">IFERROR(_xludf.XLOOKUP(C25,'Agent Master'!$A:$A,'Agent Master'!$C:$C,"Missing"),"Missing")</f>
        <v>Missing</v>
      </c>
      <c r="L25" t="str">
        <f t="shared" si="1"/>
        <v>September</v>
      </c>
      <c r="M25" t="str">
        <f>_xlfn.XLOOKUP('Transaction Data'!D25,ProductMap[Product Code],ProductMap[Product Name])</f>
        <v>MATM</v>
      </c>
      <c r="N25" t="str">
        <f t="shared" si="2"/>
        <v>2026-09</v>
      </c>
      <c r="O25" t="str" cm="1">
        <f t="array" ref="O25">IFERROR(_xlfn.XLOOKUP(C25,AgentMaster[[#All],[Agent ID]],AgentMaster[[#All],[Agent Name]]),"")</f>
        <v>Agent 107</v>
      </c>
      <c r="P25">
        <f t="shared" si="3"/>
        <v>16</v>
      </c>
      <c r="Q25" t="str">
        <v>A132</v>
      </c>
      <c r="R25">
        <f t="shared" si="4"/>
        <v>1</v>
      </c>
    </row>
    <row r="26" spans="1:18" x14ac:dyDescent="0.3">
      <c r="A26" t="s">
        <v>121</v>
      </c>
      <c r="B26" s="5">
        <v>46244</v>
      </c>
      <c r="C26" t="s">
        <v>122</v>
      </c>
      <c r="D26" t="s">
        <v>90</v>
      </c>
      <c r="E26">
        <v>7500</v>
      </c>
      <c r="F26" t="s">
        <v>72</v>
      </c>
      <c r="G26" t="s">
        <v>73</v>
      </c>
      <c r="H26" t="s">
        <v>96</v>
      </c>
      <c r="I26" t="str">
        <f t="shared" si="0"/>
        <v>2026-08</v>
      </c>
      <c r="J26" t="str">
        <f ca="1">IFERROR(_xludf.XLOOKUP(C26,'Agent Master'!$A:$A,'Agent Master'!$B:$B,"Missing"),"Missing")</f>
        <v>Missing</v>
      </c>
      <c r="K26" t="str">
        <f ca="1">IFERROR(_xludf.XLOOKUP(C26,'Agent Master'!$A:$A,'Agent Master'!$C:$C,"Missing"),"Missing")</f>
        <v>Missing</v>
      </c>
      <c r="L26" t="str">
        <f t="shared" si="1"/>
        <v>August</v>
      </c>
      <c r="M26" t="str">
        <f>_xlfn.XLOOKUP('Transaction Data'!D26,ProductMap[Product Code],ProductMap[Product Name])</f>
        <v>UPI</v>
      </c>
      <c r="N26" t="str">
        <f t="shared" si="2"/>
        <v>2026-08</v>
      </c>
      <c r="O26" t="str" cm="1">
        <f t="array" ref="O26">IFERROR(_xlfn.XLOOKUP(C26,AgentMaster[[#All],[Agent ID]],AgentMaster[[#All],[Agent Name]]),"")</f>
        <v>Agent 124</v>
      </c>
      <c r="P26">
        <f t="shared" si="3"/>
        <v>11</v>
      </c>
      <c r="Q26" t="str">
        <v>A128</v>
      </c>
      <c r="R26">
        <f t="shared" si="4"/>
        <v>1</v>
      </c>
    </row>
    <row r="27" spans="1:18" x14ac:dyDescent="0.3">
      <c r="A27" t="s">
        <v>123</v>
      </c>
      <c r="B27" s="5">
        <v>46266</v>
      </c>
      <c r="C27" t="s">
        <v>80</v>
      </c>
      <c r="D27" t="s">
        <v>71</v>
      </c>
      <c r="E27">
        <v>2000</v>
      </c>
      <c r="F27" t="s">
        <v>72</v>
      </c>
      <c r="G27" t="s">
        <v>73</v>
      </c>
      <c r="H27" t="s">
        <v>81</v>
      </c>
      <c r="I27" t="str">
        <f t="shared" si="0"/>
        <v>2026-09</v>
      </c>
      <c r="J27" t="str">
        <f ca="1">IFERROR(_xludf.XLOOKUP(C27,'Agent Master'!$A:$A,'Agent Master'!$B:$B,"Missing"),"Missing")</f>
        <v>Missing</v>
      </c>
      <c r="K27" t="str">
        <f ca="1">IFERROR(_xludf.XLOOKUP(C27,'Agent Master'!$A:$A,'Agent Master'!$C:$C,"Missing"),"Missing")</f>
        <v>Missing</v>
      </c>
      <c r="L27" t="str">
        <f t="shared" si="1"/>
        <v>September</v>
      </c>
      <c r="M27" t="str">
        <f>_xlfn.XLOOKUP('Transaction Data'!D27,ProductMap[Product Code],ProductMap[Product Name])</f>
        <v>AEPS</v>
      </c>
      <c r="N27" t="str">
        <f t="shared" si="2"/>
        <v>2026-09</v>
      </c>
      <c r="O27" t="str" cm="1">
        <f t="array" ref="O27">IFERROR(_xlfn.XLOOKUP(C27,AgentMaster[[#All],[Agent ID]],AgentMaster[[#All],[Agent Name]]),"")</f>
        <v>Agent 102</v>
      </c>
      <c r="P27">
        <f t="shared" si="3"/>
        <v>13</v>
      </c>
      <c r="Q27" t="str">
        <v>A126</v>
      </c>
      <c r="R27">
        <f t="shared" si="4"/>
        <v>1</v>
      </c>
    </row>
    <row r="28" spans="1:18" x14ac:dyDescent="0.3">
      <c r="A28" t="s">
        <v>124</v>
      </c>
      <c r="B28" s="5">
        <v>46250</v>
      </c>
      <c r="C28" t="s">
        <v>125</v>
      </c>
      <c r="D28" t="s">
        <v>71</v>
      </c>
      <c r="E28">
        <v>500</v>
      </c>
      <c r="F28" t="s">
        <v>72</v>
      </c>
      <c r="G28" t="s">
        <v>73</v>
      </c>
      <c r="H28" t="s">
        <v>74</v>
      </c>
      <c r="I28" t="str">
        <f t="shared" si="0"/>
        <v>2026-08</v>
      </c>
      <c r="J28" t="str">
        <f ca="1">IFERROR(_xludf.XLOOKUP(C28,'Agent Master'!$A:$A,'Agent Master'!$B:$B,"Missing"),"Missing")</f>
        <v>Missing</v>
      </c>
      <c r="K28" t="str">
        <f ca="1">IFERROR(_xludf.XLOOKUP(C28,'Agent Master'!$A:$A,'Agent Master'!$C:$C,"Missing"),"Missing")</f>
        <v>Missing</v>
      </c>
      <c r="L28" t="str">
        <f t="shared" si="1"/>
        <v>August</v>
      </c>
      <c r="M28" t="str">
        <f>_xlfn.XLOOKUP('Transaction Data'!D28,ProductMap[Product Code],ProductMap[Product Name])</f>
        <v>AEPS</v>
      </c>
      <c r="N28" t="str">
        <f t="shared" si="2"/>
        <v>2026-08</v>
      </c>
      <c r="O28" t="str" cm="1">
        <f t="array" ref="O28">IFERROR(_xlfn.XLOOKUP(C28,AgentMaster[[#All],[Agent ID]],AgentMaster[[#All],[Agent Name]]),"")</f>
        <v>Agent 137</v>
      </c>
      <c r="P28">
        <f t="shared" si="3"/>
        <v>11</v>
      </c>
      <c r="Q28" t="str">
        <v>A125</v>
      </c>
      <c r="R28">
        <f t="shared" si="4"/>
        <v>1</v>
      </c>
    </row>
    <row r="29" spans="1:18" x14ac:dyDescent="0.3">
      <c r="A29" t="s">
        <v>126</v>
      </c>
      <c r="B29" s="5">
        <v>46243</v>
      </c>
      <c r="C29" t="s">
        <v>127</v>
      </c>
      <c r="D29" t="s">
        <v>95</v>
      </c>
      <c r="E29">
        <v>750</v>
      </c>
      <c r="F29" t="s">
        <v>72</v>
      </c>
      <c r="G29" t="s">
        <v>73</v>
      </c>
      <c r="H29" t="s">
        <v>78</v>
      </c>
      <c r="I29" t="str">
        <f t="shared" si="0"/>
        <v>2026-08</v>
      </c>
      <c r="J29" t="str">
        <f ca="1">IFERROR(_xludf.XLOOKUP(C29,'Agent Master'!$A:$A,'Agent Master'!$B:$B,"Missing"),"Missing")</f>
        <v>Missing</v>
      </c>
      <c r="K29" t="str">
        <f ca="1">IFERROR(_xludf.XLOOKUP(C29,'Agent Master'!$A:$A,'Agent Master'!$C:$C,"Missing"),"Missing")</f>
        <v>Missing</v>
      </c>
      <c r="L29" t="str">
        <f t="shared" si="1"/>
        <v>August</v>
      </c>
      <c r="M29" t="str">
        <f>_xlfn.XLOOKUP('Transaction Data'!D29,ProductMap[Product Code],ProductMap[Product Name])</f>
        <v>BBPS</v>
      </c>
      <c r="N29" t="str">
        <f t="shared" si="2"/>
        <v>2026-08</v>
      </c>
      <c r="O29" t="str" cm="1">
        <f t="array" ref="O29">IFERROR(_xlfn.XLOOKUP(C29,AgentMaster[[#All],[Agent ID]],AgentMaster[[#All],[Agent Name]]),"")</f>
        <v>Agent 131</v>
      </c>
      <c r="P29">
        <f t="shared" si="3"/>
        <v>11</v>
      </c>
      <c r="Q29" t="str">
        <v>A114</v>
      </c>
      <c r="R29">
        <f t="shared" si="4"/>
        <v>1</v>
      </c>
    </row>
    <row r="30" spans="1:18" x14ac:dyDescent="0.3">
      <c r="A30" t="s">
        <v>128</v>
      </c>
      <c r="B30" s="5">
        <v>46248</v>
      </c>
      <c r="C30" t="s">
        <v>129</v>
      </c>
      <c r="D30" t="s">
        <v>77</v>
      </c>
      <c r="E30">
        <v>15000</v>
      </c>
      <c r="F30" t="s">
        <v>72</v>
      </c>
      <c r="G30" t="s">
        <v>73</v>
      </c>
      <c r="H30" t="s">
        <v>96</v>
      </c>
      <c r="I30" t="str">
        <f t="shared" si="0"/>
        <v>2026-08</v>
      </c>
      <c r="J30" t="str">
        <f ca="1">IFERROR(_xludf.XLOOKUP(C30,'Agent Master'!$A:$A,'Agent Master'!$B:$B,"Missing"),"Missing")</f>
        <v>Missing</v>
      </c>
      <c r="K30" t="str">
        <f ca="1">IFERROR(_xludf.XLOOKUP(C30,'Agent Master'!$A:$A,'Agent Master'!$C:$C,"Missing"),"Missing")</f>
        <v>Missing</v>
      </c>
      <c r="L30" t="str">
        <f t="shared" si="1"/>
        <v>August</v>
      </c>
      <c r="M30" t="str">
        <f>_xlfn.XLOOKUP('Transaction Data'!D30,ProductMap[Product Code],ProductMap[Product Name])</f>
        <v>MATM</v>
      </c>
      <c r="N30" t="str">
        <f t="shared" si="2"/>
        <v>2026-08</v>
      </c>
      <c r="O30" t="str" cm="1">
        <f t="array" ref="O30">IFERROR(_xlfn.XLOOKUP(C30,AgentMaster[[#All],[Agent ID]],AgentMaster[[#All],[Agent Name]]),"")</f>
        <v>Agent 135</v>
      </c>
      <c r="P30">
        <f t="shared" si="3"/>
        <v>19</v>
      </c>
      <c r="Q30" t="str">
        <v>A104</v>
      </c>
      <c r="R30">
        <f t="shared" si="4"/>
        <v>1</v>
      </c>
    </row>
    <row r="31" spans="1:18" x14ac:dyDescent="0.3">
      <c r="A31" t="s">
        <v>130</v>
      </c>
      <c r="B31" s="5">
        <v>46260</v>
      </c>
      <c r="D31" t="s">
        <v>87</v>
      </c>
      <c r="E31">
        <v>5000</v>
      </c>
      <c r="F31" t="s">
        <v>72</v>
      </c>
      <c r="G31" t="s">
        <v>84</v>
      </c>
      <c r="H31" t="s">
        <v>81</v>
      </c>
      <c r="I31" t="str">
        <f t="shared" si="0"/>
        <v>2026-08</v>
      </c>
      <c r="J31" t="str">
        <f ca="1">IFERROR(_xludf.XLOOKUP(C31,'Agent Master'!$A:$A,'Agent Master'!$B:$B,"Missing"),"Missing")</f>
        <v>Missing</v>
      </c>
      <c r="K31" t="str">
        <f ca="1">IFERROR(_xludf.XLOOKUP(C31,'Agent Master'!$A:$A,'Agent Master'!$C:$C,"Missing"),"Missing")</f>
        <v>Missing</v>
      </c>
      <c r="L31" t="str">
        <f t="shared" si="1"/>
        <v>August</v>
      </c>
      <c r="M31" t="str">
        <f>_xlfn.XLOOKUP('Transaction Data'!D31,ProductMap[Product Code],ProductMap[Product Name])</f>
        <v>APAY</v>
      </c>
      <c r="N31" t="str">
        <f t="shared" si="2"/>
        <v>2026-08</v>
      </c>
      <c r="O31" t="str" cm="1">
        <f t="array" ref="O31">IFERROR(_xlfn.XLOOKUP(C31,AgentMaster[[#All],[Agent ID]],AgentMaster[[#All],[Agent Name]]),"")</f>
        <v/>
      </c>
      <c r="P31">
        <f t="shared" si="3"/>
        <v>25</v>
      </c>
      <c r="Q31" t="str">
        <v>A133</v>
      </c>
      <c r="R31">
        <f t="shared" si="4"/>
        <v>1</v>
      </c>
    </row>
    <row r="32" spans="1:18" x14ac:dyDescent="0.3">
      <c r="A32" t="s">
        <v>131</v>
      </c>
      <c r="B32" s="5">
        <v>46250</v>
      </c>
      <c r="C32" t="s">
        <v>100</v>
      </c>
      <c r="D32" t="s">
        <v>71</v>
      </c>
      <c r="E32">
        <v>2000</v>
      </c>
      <c r="F32" t="s">
        <v>72</v>
      </c>
      <c r="G32" t="s">
        <v>73</v>
      </c>
      <c r="H32" t="s">
        <v>74</v>
      </c>
      <c r="I32" t="str">
        <f t="shared" si="0"/>
        <v>2026-08</v>
      </c>
      <c r="J32" t="str">
        <f ca="1">IFERROR(_xludf.XLOOKUP(C32,'Agent Master'!$A:$A,'Agent Master'!$B:$B,"Missing"),"Missing")</f>
        <v>Missing</v>
      </c>
      <c r="K32" t="str">
        <f ca="1">IFERROR(_xludf.XLOOKUP(C32,'Agent Master'!$A:$A,'Agent Master'!$C:$C,"Missing"),"Missing")</f>
        <v>Missing</v>
      </c>
      <c r="L32" t="str">
        <f t="shared" si="1"/>
        <v>August</v>
      </c>
      <c r="M32" t="str">
        <f>_xlfn.XLOOKUP('Transaction Data'!D32,ProductMap[Product Code],ProductMap[Product Name])</f>
        <v>AEPS</v>
      </c>
      <c r="N32" t="str">
        <f t="shared" si="2"/>
        <v>2026-08</v>
      </c>
      <c r="O32" t="str" cm="1">
        <f t="array" ref="O32">IFERROR(_xlfn.XLOOKUP(C32,AgentMaster[[#All],[Agent ID]],AgentMaster[[#All],[Agent Name]]),"")</f>
        <v>Agent 115</v>
      </c>
      <c r="P32">
        <f t="shared" si="3"/>
        <v>11</v>
      </c>
      <c r="Q32" t="str">
        <v>A106</v>
      </c>
      <c r="R32">
        <f t="shared" si="4"/>
        <v>1</v>
      </c>
    </row>
    <row r="33" spans="1:18" x14ac:dyDescent="0.3">
      <c r="A33" t="s">
        <v>132</v>
      </c>
      <c r="B33" s="5">
        <v>46272</v>
      </c>
      <c r="C33" t="s">
        <v>100</v>
      </c>
      <c r="D33" t="s">
        <v>71</v>
      </c>
      <c r="E33">
        <v>500</v>
      </c>
      <c r="F33" t="s">
        <v>72</v>
      </c>
      <c r="G33" t="s">
        <v>73</v>
      </c>
      <c r="H33" t="s">
        <v>81</v>
      </c>
      <c r="I33" t="str">
        <f t="shared" si="0"/>
        <v>2026-09</v>
      </c>
      <c r="J33" t="str">
        <f ca="1">IFERROR(_xludf.XLOOKUP(C33,'Agent Master'!$A:$A,'Agent Master'!$B:$B,"Missing"),"Missing")</f>
        <v>Missing</v>
      </c>
      <c r="K33" t="str">
        <f ca="1">IFERROR(_xludf.XLOOKUP(C33,'Agent Master'!$A:$A,'Agent Master'!$C:$C,"Missing"),"Missing")</f>
        <v>Missing</v>
      </c>
      <c r="L33" t="str">
        <f t="shared" si="1"/>
        <v>September</v>
      </c>
      <c r="M33" t="str">
        <f>_xlfn.XLOOKUP('Transaction Data'!D33,ProductMap[Product Code],ProductMap[Product Name])</f>
        <v>AEPS</v>
      </c>
      <c r="N33" t="str">
        <f t="shared" si="2"/>
        <v>2026-09</v>
      </c>
      <c r="O33" t="str" cm="1">
        <f t="array" ref="O33">IFERROR(_xlfn.XLOOKUP(C33,AgentMaster[[#All],[Agent ID]],AgentMaster[[#All],[Agent Name]]),"")</f>
        <v>Agent 115</v>
      </c>
      <c r="P33">
        <f t="shared" si="3"/>
        <v>11</v>
      </c>
      <c r="Q33" t="str">
        <v>A117</v>
      </c>
      <c r="R33">
        <f t="shared" si="4"/>
        <v>1</v>
      </c>
    </row>
    <row r="34" spans="1:18" x14ac:dyDescent="0.3">
      <c r="A34" t="s">
        <v>133</v>
      </c>
      <c r="B34" s="5">
        <v>46292</v>
      </c>
      <c r="C34" t="s">
        <v>134</v>
      </c>
      <c r="D34" t="s">
        <v>87</v>
      </c>
      <c r="E34">
        <v>500</v>
      </c>
      <c r="F34" t="s">
        <v>72</v>
      </c>
      <c r="G34" t="s">
        <v>73</v>
      </c>
      <c r="H34" t="s">
        <v>96</v>
      </c>
      <c r="I34" t="str">
        <f t="shared" si="0"/>
        <v>2026-09</v>
      </c>
      <c r="J34" t="str">
        <f ca="1">IFERROR(_xludf.XLOOKUP(C34,'Agent Master'!$A:$A,'Agent Master'!$B:$B,"Missing"),"Missing")</f>
        <v>Missing</v>
      </c>
      <c r="K34" t="str">
        <f ca="1">IFERROR(_xludf.XLOOKUP(C34,'Agent Master'!$A:$A,'Agent Master'!$C:$C,"Missing"),"Missing")</f>
        <v>Missing</v>
      </c>
      <c r="L34" t="str">
        <f t="shared" si="1"/>
        <v>September</v>
      </c>
      <c r="M34" t="str">
        <f>_xlfn.XLOOKUP('Transaction Data'!D34,ProductMap[Product Code],ProductMap[Product Name])</f>
        <v>APAY</v>
      </c>
      <c r="N34" t="str">
        <f t="shared" si="2"/>
        <v>2026-09</v>
      </c>
      <c r="O34" t="str" cm="1">
        <f t="array" ref="O34">IFERROR(_xlfn.XLOOKUP(C34,AgentMaster[[#All],[Agent ID]],AgentMaster[[#All],[Agent Name]]),"")</f>
        <v>Agent 103</v>
      </c>
      <c r="P34">
        <f t="shared" si="3"/>
        <v>11</v>
      </c>
      <c r="Q34" t="str">
        <v>A109</v>
      </c>
      <c r="R34">
        <f t="shared" si="4"/>
        <v>1</v>
      </c>
    </row>
    <row r="35" spans="1:18" x14ac:dyDescent="0.3">
      <c r="A35" t="s">
        <v>135</v>
      </c>
      <c r="B35" s="5">
        <v>46277</v>
      </c>
      <c r="C35" t="s">
        <v>136</v>
      </c>
      <c r="D35" t="s">
        <v>90</v>
      </c>
      <c r="E35">
        <v>7500</v>
      </c>
      <c r="F35" t="s">
        <v>72</v>
      </c>
      <c r="G35" t="s">
        <v>73</v>
      </c>
      <c r="H35" t="s">
        <v>78</v>
      </c>
      <c r="I35" t="str">
        <f t="shared" si="0"/>
        <v>2026-09</v>
      </c>
      <c r="J35" t="str">
        <f ca="1">IFERROR(_xludf.XLOOKUP(C35,'Agent Master'!$A:$A,'Agent Master'!$B:$B,"Missing"),"Missing")</f>
        <v>Missing</v>
      </c>
      <c r="K35" t="str">
        <f ca="1">IFERROR(_xludf.XLOOKUP(C35,'Agent Master'!$A:$A,'Agent Master'!$C:$C,"Missing"),"Missing")</f>
        <v>Missing</v>
      </c>
      <c r="L35" t="str">
        <f t="shared" si="1"/>
        <v>September</v>
      </c>
      <c r="M35" t="str">
        <f>_xlfn.XLOOKUP('Transaction Data'!D35,ProductMap[Product Code],ProductMap[Product Name])</f>
        <v>UPI</v>
      </c>
      <c r="N35" t="str">
        <f t="shared" si="2"/>
        <v>2026-09</v>
      </c>
      <c r="O35" t="str" cm="1">
        <f t="array" ref="O35">IFERROR(_xlfn.XLOOKUP(C35,AgentMaster[[#All],[Agent ID]],AgentMaster[[#All],[Agent Name]]),"")</f>
        <v>Agent 132</v>
      </c>
      <c r="P35">
        <f t="shared" si="3"/>
        <v>8</v>
      </c>
      <c r="Q35" t="str">
        <v>A129</v>
      </c>
      <c r="R35">
        <f t="shared" si="4"/>
        <v>1</v>
      </c>
    </row>
    <row r="36" spans="1:18" x14ac:dyDescent="0.3">
      <c r="A36" t="s">
        <v>137</v>
      </c>
      <c r="B36" s="5">
        <v>46250</v>
      </c>
      <c r="C36" t="s">
        <v>127</v>
      </c>
      <c r="D36" t="s">
        <v>110</v>
      </c>
      <c r="E36">
        <v>1000</v>
      </c>
      <c r="F36" t="s">
        <v>72</v>
      </c>
      <c r="G36" t="s">
        <v>73</v>
      </c>
      <c r="H36" t="s">
        <v>78</v>
      </c>
      <c r="I36" t="str">
        <f t="shared" si="0"/>
        <v>2026-08</v>
      </c>
      <c r="J36" t="str">
        <f ca="1">IFERROR(_xludf.XLOOKUP(C36,'Agent Master'!$A:$A,'Agent Master'!$B:$B,"Missing"),"Missing")</f>
        <v>Missing</v>
      </c>
      <c r="K36" t="str">
        <f ca="1">IFERROR(_xludf.XLOOKUP(C36,'Agent Master'!$A:$A,'Agent Master'!$C:$C,"Missing"),"Missing")</f>
        <v>Missing</v>
      </c>
      <c r="L36" t="str">
        <f t="shared" si="1"/>
        <v>August</v>
      </c>
      <c r="M36" t="str">
        <f>_xlfn.XLOOKUP('Transaction Data'!D36,ProductMap[Product Code],ProductMap[Product Name])</f>
        <v>DMT</v>
      </c>
      <c r="N36" t="str">
        <f t="shared" si="2"/>
        <v>2026-08</v>
      </c>
      <c r="O36" t="str" cm="1">
        <f t="array" ref="O36">IFERROR(_xlfn.XLOOKUP(C36,AgentMaster[[#All],[Agent ID]],AgentMaster[[#All],[Agent Name]]),"")</f>
        <v>Agent 131</v>
      </c>
      <c r="P36">
        <f t="shared" si="3"/>
        <v>11</v>
      </c>
      <c r="Q36" t="str">
        <v>A112</v>
      </c>
      <c r="R36">
        <f t="shared" si="4"/>
        <v>1</v>
      </c>
    </row>
    <row r="37" spans="1:18" x14ac:dyDescent="0.3">
      <c r="A37" t="s">
        <v>138</v>
      </c>
      <c r="B37" s="5">
        <v>46257</v>
      </c>
      <c r="C37" t="s">
        <v>139</v>
      </c>
      <c r="D37" t="s">
        <v>110</v>
      </c>
      <c r="E37">
        <v>5000</v>
      </c>
      <c r="F37" t="s">
        <v>72</v>
      </c>
      <c r="G37" t="s">
        <v>73</v>
      </c>
      <c r="H37" t="s">
        <v>81</v>
      </c>
      <c r="I37" t="str">
        <f t="shared" si="0"/>
        <v>2026-08</v>
      </c>
      <c r="J37" t="str">
        <f ca="1">IFERROR(_xludf.XLOOKUP(C37,'Agent Master'!$A:$A,'Agent Master'!$B:$B,"Missing"),"Missing")</f>
        <v>Missing</v>
      </c>
      <c r="K37" t="str">
        <f ca="1">IFERROR(_xludf.XLOOKUP(C37,'Agent Master'!$A:$A,'Agent Master'!$C:$C,"Missing"),"Missing")</f>
        <v>Missing</v>
      </c>
      <c r="L37" t="str">
        <f t="shared" si="1"/>
        <v>August</v>
      </c>
      <c r="M37" t="str">
        <f>_xlfn.XLOOKUP('Transaction Data'!D37,ProductMap[Product Code],ProductMap[Product Name])</f>
        <v>DMT</v>
      </c>
      <c r="N37" t="str">
        <f t="shared" si="2"/>
        <v>2026-08</v>
      </c>
      <c r="O37" t="str" cm="1">
        <f t="array" ref="O37">IFERROR(_xlfn.XLOOKUP(C37,AgentMaster[[#All],[Agent ID]],AgentMaster[[#All],[Agent Name]]),"")</f>
        <v>Agent 128</v>
      </c>
      <c r="P37">
        <f t="shared" si="3"/>
        <v>16</v>
      </c>
      <c r="Q37" t="str">
        <v>A127</v>
      </c>
      <c r="R37">
        <f t="shared" si="4"/>
        <v>1</v>
      </c>
    </row>
    <row r="38" spans="1:18" x14ac:dyDescent="0.3">
      <c r="A38" t="s">
        <v>140</v>
      </c>
      <c r="B38" s="5">
        <v>46238</v>
      </c>
      <c r="C38" t="s">
        <v>141</v>
      </c>
      <c r="D38" t="s">
        <v>77</v>
      </c>
      <c r="E38">
        <v>2000</v>
      </c>
      <c r="F38" t="s">
        <v>72</v>
      </c>
      <c r="G38" t="s">
        <v>73</v>
      </c>
      <c r="H38" t="s">
        <v>74</v>
      </c>
      <c r="I38" t="str">
        <f t="shared" si="0"/>
        <v>2026-08</v>
      </c>
      <c r="J38" t="str">
        <f ca="1">IFERROR(_xludf.XLOOKUP(C38,'Agent Master'!$A:$A,'Agent Master'!$B:$B,"Missing"),"Missing")</f>
        <v>Missing</v>
      </c>
      <c r="K38" t="str">
        <f ca="1">IFERROR(_xludf.XLOOKUP(C38,'Agent Master'!$A:$A,'Agent Master'!$C:$C,"Missing"),"Missing")</f>
        <v>Missing</v>
      </c>
      <c r="L38" t="str">
        <f t="shared" si="1"/>
        <v>August</v>
      </c>
      <c r="M38" t="str">
        <f>_xlfn.XLOOKUP('Transaction Data'!D38,ProductMap[Product Code],ProductMap[Product Name])</f>
        <v>MATM</v>
      </c>
      <c r="N38" t="str">
        <f t="shared" si="2"/>
        <v>2026-08</v>
      </c>
      <c r="O38" t="str" cm="1">
        <f t="array" ref="O38">IFERROR(_xlfn.XLOOKUP(C38,AgentMaster[[#All],[Agent ID]],AgentMaster[[#All],[Agent Name]]),"")</f>
        <v>Agent 126</v>
      </c>
      <c r="P38">
        <f t="shared" si="3"/>
        <v>11</v>
      </c>
      <c r="Q38" t="str">
        <v>A134</v>
      </c>
      <c r="R38">
        <f t="shared" si="4"/>
        <v>1</v>
      </c>
    </row>
    <row r="39" spans="1:18" x14ac:dyDescent="0.3">
      <c r="A39" t="s">
        <v>142</v>
      </c>
      <c r="B39" s="5">
        <v>46247</v>
      </c>
      <c r="C39" t="s">
        <v>129</v>
      </c>
      <c r="D39" t="s">
        <v>110</v>
      </c>
      <c r="E39">
        <v>750</v>
      </c>
      <c r="F39" t="s">
        <v>72</v>
      </c>
      <c r="G39" t="s">
        <v>73</v>
      </c>
      <c r="H39" t="s">
        <v>96</v>
      </c>
      <c r="I39" t="str">
        <f t="shared" si="0"/>
        <v>2026-08</v>
      </c>
      <c r="J39" t="str">
        <f ca="1">IFERROR(_xludf.XLOOKUP(C39,'Agent Master'!$A:$A,'Agent Master'!$B:$B,"Missing"),"Missing")</f>
        <v>Missing</v>
      </c>
      <c r="K39" t="str">
        <f ca="1">IFERROR(_xludf.XLOOKUP(C39,'Agent Master'!$A:$A,'Agent Master'!$C:$C,"Missing"),"Missing")</f>
        <v>Missing</v>
      </c>
      <c r="L39" t="str">
        <f t="shared" si="1"/>
        <v>August</v>
      </c>
      <c r="M39" t="str">
        <f>_xlfn.XLOOKUP('Transaction Data'!D39,ProductMap[Product Code],ProductMap[Product Name])</f>
        <v>DMT</v>
      </c>
      <c r="N39" t="str">
        <f t="shared" si="2"/>
        <v>2026-08</v>
      </c>
      <c r="O39" t="str" cm="1">
        <f t="array" ref="O39">IFERROR(_xlfn.XLOOKUP(C39,AgentMaster[[#All],[Agent ID]],AgentMaster[[#All],[Agent Name]]),"")</f>
        <v>Agent 135</v>
      </c>
      <c r="P39">
        <f t="shared" si="3"/>
        <v>19</v>
      </c>
      <c r="Q39" t="str">
        <v>A122</v>
      </c>
      <c r="R39">
        <f t="shared" si="4"/>
        <v>1</v>
      </c>
    </row>
    <row r="40" spans="1:18" x14ac:dyDescent="0.3">
      <c r="A40" t="s">
        <v>143</v>
      </c>
      <c r="B40" s="5">
        <v>46264</v>
      </c>
      <c r="C40" t="s">
        <v>104</v>
      </c>
      <c r="D40" t="s">
        <v>71</v>
      </c>
      <c r="E40">
        <v>5000</v>
      </c>
      <c r="F40" t="s">
        <v>72</v>
      </c>
      <c r="G40" t="s">
        <v>73</v>
      </c>
      <c r="H40" t="s">
        <v>81</v>
      </c>
      <c r="I40" t="str">
        <f t="shared" si="0"/>
        <v>2026-08</v>
      </c>
      <c r="J40" t="str">
        <f ca="1">IFERROR(_xludf.XLOOKUP(C40,'Agent Master'!$A:$A,'Agent Master'!$B:$B,"Missing"),"Missing")</f>
        <v>Missing</v>
      </c>
      <c r="K40" t="str">
        <f ca="1">IFERROR(_xludf.XLOOKUP(C40,'Agent Master'!$A:$A,'Agent Master'!$C:$C,"Missing"),"Missing")</f>
        <v>Missing</v>
      </c>
      <c r="L40" t="str">
        <f t="shared" si="1"/>
        <v>August</v>
      </c>
      <c r="M40" t="str">
        <f>_xlfn.XLOOKUP('Transaction Data'!D40,ProductMap[Product Code],ProductMap[Product Name])</f>
        <v>AEPS</v>
      </c>
      <c r="N40" t="str">
        <f t="shared" si="2"/>
        <v>2026-08</v>
      </c>
      <c r="O40" t="str" cm="1">
        <f t="array" ref="O40">IFERROR(_xlfn.XLOOKUP(C40,AgentMaster[[#All],[Agent ID]],AgentMaster[[#All],[Agent Name]]),"")</f>
        <v>Agent 116</v>
      </c>
      <c r="P40">
        <f t="shared" si="3"/>
        <v>15</v>
      </c>
      <c r="Q40" t="str">
        <v>A120</v>
      </c>
      <c r="R40">
        <f t="shared" si="4"/>
        <v>1</v>
      </c>
    </row>
    <row r="41" spans="1:18" x14ac:dyDescent="0.3">
      <c r="A41" t="s">
        <v>144</v>
      </c>
      <c r="B41" s="5">
        <v>46276</v>
      </c>
      <c r="C41" t="s">
        <v>129</v>
      </c>
      <c r="D41" t="s">
        <v>71</v>
      </c>
      <c r="E41">
        <v>500</v>
      </c>
      <c r="F41" t="s">
        <v>72</v>
      </c>
      <c r="G41" t="s">
        <v>73</v>
      </c>
      <c r="H41" t="s">
        <v>78</v>
      </c>
      <c r="I41" t="str">
        <f t="shared" si="0"/>
        <v>2026-09</v>
      </c>
      <c r="J41" t="str">
        <f ca="1">IFERROR(_xludf.XLOOKUP(C41,'Agent Master'!$A:$A,'Agent Master'!$B:$B,"Missing"),"Missing")</f>
        <v>Missing</v>
      </c>
      <c r="K41" t="str">
        <f ca="1">IFERROR(_xludf.XLOOKUP(C41,'Agent Master'!$A:$A,'Agent Master'!$C:$C,"Missing"),"Missing")</f>
        <v>Missing</v>
      </c>
      <c r="L41" t="str">
        <f t="shared" si="1"/>
        <v>September</v>
      </c>
      <c r="M41" t="str">
        <f>_xlfn.XLOOKUP('Transaction Data'!D41,ProductMap[Product Code],ProductMap[Product Name])</f>
        <v>AEPS</v>
      </c>
      <c r="N41" t="str">
        <f t="shared" si="2"/>
        <v>2026-09</v>
      </c>
      <c r="O41" t="str" cm="1">
        <f t="array" ref="O41">IFERROR(_xlfn.XLOOKUP(C41,AgentMaster[[#All],[Agent ID]],AgentMaster[[#All],[Agent Name]]),"")</f>
        <v>Agent 135</v>
      </c>
      <c r="P41">
        <f t="shared" si="3"/>
        <v>19</v>
      </c>
      <c r="Q41" t="str">
        <v>A111</v>
      </c>
      <c r="R41">
        <f t="shared" si="4"/>
        <v>1</v>
      </c>
    </row>
    <row r="42" spans="1:18" x14ac:dyDescent="0.3">
      <c r="A42" t="s">
        <v>145</v>
      </c>
      <c r="B42" s="5">
        <v>46266</v>
      </c>
      <c r="C42" t="s">
        <v>127</v>
      </c>
      <c r="D42" t="s">
        <v>90</v>
      </c>
      <c r="E42">
        <v>2500</v>
      </c>
      <c r="F42" t="s">
        <v>72</v>
      </c>
      <c r="G42" t="s">
        <v>73</v>
      </c>
      <c r="H42" t="s">
        <v>78</v>
      </c>
      <c r="I42" t="str">
        <f t="shared" si="0"/>
        <v>2026-09</v>
      </c>
      <c r="J42" t="str">
        <f ca="1">IFERROR(_xludf.XLOOKUP(C42,'Agent Master'!$A:$A,'Agent Master'!$B:$B,"Missing"),"Missing")</f>
        <v>Missing</v>
      </c>
      <c r="K42" t="str">
        <f ca="1">IFERROR(_xludf.XLOOKUP(C42,'Agent Master'!$A:$A,'Agent Master'!$C:$C,"Missing"),"Missing")</f>
        <v>Missing</v>
      </c>
      <c r="L42" t="str">
        <f t="shared" si="1"/>
        <v>September</v>
      </c>
      <c r="M42" t="str">
        <f>_xlfn.XLOOKUP('Transaction Data'!D42,ProductMap[Product Code],ProductMap[Product Name])</f>
        <v>UPI</v>
      </c>
      <c r="N42" t="str">
        <f t="shared" si="2"/>
        <v>2026-09</v>
      </c>
      <c r="O42" t="str" cm="1">
        <f t="array" ref="O42">IFERROR(_xlfn.XLOOKUP(C42,AgentMaster[[#All],[Agent ID]],AgentMaster[[#All],[Agent Name]]),"")</f>
        <v>Agent 131</v>
      </c>
      <c r="P42">
        <f t="shared" si="3"/>
        <v>11</v>
      </c>
      <c r="Q42" t="str">
        <v>A110</v>
      </c>
      <c r="R42">
        <f t="shared" si="4"/>
        <v>1</v>
      </c>
    </row>
    <row r="43" spans="1:18" x14ac:dyDescent="0.3">
      <c r="A43" t="s">
        <v>146</v>
      </c>
      <c r="B43" s="5">
        <v>46235</v>
      </c>
      <c r="C43" t="s">
        <v>147</v>
      </c>
      <c r="D43" t="s">
        <v>87</v>
      </c>
      <c r="E43">
        <v>20000</v>
      </c>
      <c r="F43" t="s">
        <v>72</v>
      </c>
      <c r="G43" t="s">
        <v>84</v>
      </c>
      <c r="H43" t="s">
        <v>78</v>
      </c>
      <c r="I43" t="str">
        <f t="shared" si="0"/>
        <v>2026-08</v>
      </c>
      <c r="J43" t="str">
        <f ca="1">IFERROR(_xludf.XLOOKUP(C43,'Agent Master'!$A:$A,'Agent Master'!$B:$B,"Missing"),"Missing")</f>
        <v>Missing</v>
      </c>
      <c r="K43" t="str">
        <f ca="1">IFERROR(_xludf.XLOOKUP(C43,'Agent Master'!$A:$A,'Agent Master'!$C:$C,"Missing"),"Missing")</f>
        <v>Missing</v>
      </c>
      <c r="L43" t="str">
        <f t="shared" si="1"/>
        <v>August</v>
      </c>
      <c r="M43" t="str">
        <f>_xlfn.XLOOKUP('Transaction Data'!D43,ProductMap[Product Code],ProductMap[Product Name])</f>
        <v>APAY</v>
      </c>
      <c r="N43" t="str">
        <f t="shared" si="2"/>
        <v>2026-08</v>
      </c>
      <c r="O43" t="str" cm="1">
        <f t="array" ref="O43">IFERROR(_xlfn.XLOOKUP(C43,AgentMaster[[#All],[Agent ID]],AgentMaster[[#All],[Agent Name]]),"")</f>
        <v>Agent 125</v>
      </c>
      <c r="P43">
        <f t="shared" si="3"/>
        <v>7</v>
      </c>
      <c r="Q43" t="str">
        <v>A123</v>
      </c>
      <c r="R43">
        <f t="shared" si="4"/>
        <v>1</v>
      </c>
    </row>
    <row r="44" spans="1:18" x14ac:dyDescent="0.3">
      <c r="A44" t="s">
        <v>148</v>
      </c>
      <c r="B44" s="5">
        <v>46279</v>
      </c>
      <c r="C44" t="s">
        <v>112</v>
      </c>
      <c r="D44" t="s">
        <v>77</v>
      </c>
      <c r="E44">
        <v>15000</v>
      </c>
      <c r="F44" t="s">
        <v>72</v>
      </c>
      <c r="G44" t="s">
        <v>73</v>
      </c>
      <c r="H44" t="s">
        <v>74</v>
      </c>
      <c r="I44" t="str">
        <f t="shared" si="0"/>
        <v>2026-09</v>
      </c>
      <c r="J44" t="str">
        <f ca="1">IFERROR(_xludf.XLOOKUP(C44,'Agent Master'!$A:$A,'Agent Master'!$B:$B,"Missing"),"Missing")</f>
        <v>Missing</v>
      </c>
      <c r="K44" t="str">
        <f ca="1">IFERROR(_xludf.XLOOKUP(C44,'Agent Master'!$A:$A,'Agent Master'!$C:$C,"Missing"),"Missing")</f>
        <v>Missing</v>
      </c>
      <c r="L44" t="str">
        <f t="shared" si="1"/>
        <v>September</v>
      </c>
      <c r="M44" t="str">
        <f>_xlfn.XLOOKUP('Transaction Data'!D44,ProductMap[Product Code],ProductMap[Product Name])</f>
        <v>MATM</v>
      </c>
      <c r="N44" t="str">
        <f t="shared" si="2"/>
        <v>2026-09</v>
      </c>
      <c r="O44" t="str" cm="1">
        <f t="array" ref="O44">IFERROR(_xlfn.XLOOKUP(C44,AgentMaster[[#All],[Agent ID]],AgentMaster[[#All],[Agent Name]]),"")</f>
        <v>Agent 136</v>
      </c>
      <c r="P44">
        <f t="shared" si="3"/>
        <v>16</v>
      </c>
      <c r="Q44" t="str">
        <v>A140</v>
      </c>
      <c r="R44">
        <f t="shared" si="4"/>
        <v>1</v>
      </c>
    </row>
    <row r="45" spans="1:18" x14ac:dyDescent="0.3">
      <c r="A45" t="s">
        <v>149</v>
      </c>
      <c r="B45" s="5">
        <v>46253</v>
      </c>
      <c r="C45" t="s">
        <v>150</v>
      </c>
      <c r="D45" t="s">
        <v>71</v>
      </c>
      <c r="E45">
        <v>10000</v>
      </c>
      <c r="F45" t="s">
        <v>72</v>
      </c>
      <c r="G45" t="s">
        <v>73</v>
      </c>
      <c r="H45" t="s">
        <v>96</v>
      </c>
      <c r="I45" t="str">
        <f t="shared" si="0"/>
        <v>2026-08</v>
      </c>
      <c r="J45" t="str">
        <f ca="1">IFERROR(_xludf.XLOOKUP(C45,'Agent Master'!$A:$A,'Agent Master'!$B:$B,"Missing"),"Missing")</f>
        <v>Missing</v>
      </c>
      <c r="K45" t="str">
        <f ca="1">IFERROR(_xludf.XLOOKUP(C45,'Agent Master'!$A:$A,'Agent Master'!$C:$C,"Missing"),"Missing")</f>
        <v>Missing</v>
      </c>
      <c r="L45" t="str">
        <f t="shared" si="1"/>
        <v>August</v>
      </c>
      <c r="M45" t="str">
        <f>_xlfn.XLOOKUP('Transaction Data'!D45,ProductMap[Product Code],ProductMap[Product Name])</f>
        <v>AEPS</v>
      </c>
      <c r="N45" t="str">
        <f t="shared" si="2"/>
        <v>2026-08</v>
      </c>
      <c r="O45" t="str" cm="1">
        <f t="array" ref="O45">IFERROR(_xlfn.XLOOKUP(C45,AgentMaster[[#All],[Agent ID]],AgentMaster[[#All],[Agent Name]]),"")</f>
        <v>Agent 114</v>
      </c>
      <c r="P45">
        <f t="shared" si="3"/>
        <v>8</v>
      </c>
      <c r="Q45" t="str">
        <v>A119</v>
      </c>
      <c r="R45">
        <f t="shared" si="4"/>
        <v>1</v>
      </c>
    </row>
    <row r="46" spans="1:18" x14ac:dyDescent="0.3">
      <c r="A46" t="s">
        <v>151</v>
      </c>
      <c r="B46" s="5">
        <v>46238</v>
      </c>
      <c r="C46" t="s">
        <v>152</v>
      </c>
      <c r="D46" t="s">
        <v>95</v>
      </c>
      <c r="E46">
        <v>5000</v>
      </c>
      <c r="F46" t="s">
        <v>72</v>
      </c>
      <c r="G46" t="s">
        <v>73</v>
      </c>
      <c r="H46" t="s">
        <v>74</v>
      </c>
      <c r="I46" t="str">
        <f t="shared" si="0"/>
        <v>2026-08</v>
      </c>
      <c r="J46" t="str">
        <f ca="1">IFERROR(_xludf.XLOOKUP(C46,'Agent Master'!$A:$A,'Agent Master'!$B:$B,"Missing"),"Missing")</f>
        <v>Missing</v>
      </c>
      <c r="K46" t="str">
        <f ca="1">IFERROR(_xludf.XLOOKUP(C46,'Agent Master'!$A:$A,'Agent Master'!$C:$C,"Missing"),"Missing")</f>
        <v>Missing</v>
      </c>
      <c r="L46" t="str">
        <f t="shared" si="1"/>
        <v>August</v>
      </c>
      <c r="M46" t="str">
        <f>_xlfn.XLOOKUP('Transaction Data'!D46,ProductMap[Product Code],ProductMap[Product Name])</f>
        <v>BBPS</v>
      </c>
      <c r="N46" t="str">
        <f t="shared" si="2"/>
        <v>2026-08</v>
      </c>
      <c r="O46" t="str" cm="1">
        <f t="array" ref="O46">IFERROR(_xlfn.XLOOKUP(C46,AgentMaster[[#All],[Agent ID]],AgentMaster[[#All],[Agent Name]]),"")</f>
        <v>Agent 104</v>
      </c>
      <c r="P46">
        <f t="shared" si="3"/>
        <v>6</v>
      </c>
      <c r="Q46" t="str">
        <v>A139</v>
      </c>
      <c r="R46">
        <f t="shared" si="4"/>
        <v>1</v>
      </c>
    </row>
    <row r="47" spans="1:18" x14ac:dyDescent="0.3">
      <c r="A47" t="s">
        <v>153</v>
      </c>
      <c r="B47" s="5">
        <v>46238</v>
      </c>
      <c r="C47" t="s">
        <v>154</v>
      </c>
      <c r="D47" t="s">
        <v>71</v>
      </c>
      <c r="E47">
        <v>750</v>
      </c>
      <c r="F47" t="s">
        <v>72</v>
      </c>
      <c r="G47" t="s">
        <v>73</v>
      </c>
      <c r="H47" t="s">
        <v>81</v>
      </c>
      <c r="I47" t="str">
        <f t="shared" si="0"/>
        <v>2026-08</v>
      </c>
      <c r="J47" t="str">
        <f ca="1">IFERROR(_xludf.XLOOKUP(C47,'Agent Master'!$A:$A,'Agent Master'!$B:$B,"Missing"),"Missing")</f>
        <v>Missing</v>
      </c>
      <c r="K47" t="str">
        <f ca="1">IFERROR(_xludf.XLOOKUP(C47,'Agent Master'!$A:$A,'Agent Master'!$C:$C,"Missing"),"Missing")</f>
        <v>Missing</v>
      </c>
      <c r="L47" t="str">
        <f t="shared" si="1"/>
        <v>August</v>
      </c>
      <c r="M47" t="str">
        <f>_xlfn.XLOOKUP('Transaction Data'!D47,ProductMap[Product Code],ProductMap[Product Name])</f>
        <v>AEPS</v>
      </c>
      <c r="N47" t="str">
        <f t="shared" si="2"/>
        <v>2026-08</v>
      </c>
      <c r="O47" t="str" cm="1">
        <f t="array" ref="O47">IFERROR(_xlfn.XLOOKUP(C47,AgentMaster[[#All],[Agent ID]],AgentMaster[[#All],[Agent Name]]),"")</f>
        <v>Agent 133</v>
      </c>
      <c r="P47">
        <f t="shared" si="3"/>
        <v>9</v>
      </c>
      <c r="R47" s="12">
        <f>SUM(R5:R46)</f>
        <v>41</v>
      </c>
    </row>
    <row r="48" spans="1:18" x14ac:dyDescent="0.3">
      <c r="A48" t="s">
        <v>155</v>
      </c>
      <c r="B48" s="5">
        <v>46278</v>
      </c>
      <c r="C48" t="s">
        <v>104</v>
      </c>
      <c r="D48" t="s">
        <v>110</v>
      </c>
      <c r="E48">
        <v>500</v>
      </c>
      <c r="F48" t="s">
        <v>92</v>
      </c>
      <c r="G48" t="s">
        <v>73</v>
      </c>
      <c r="H48" t="s">
        <v>81</v>
      </c>
      <c r="I48" t="str">
        <f t="shared" si="0"/>
        <v>2026-09</v>
      </c>
      <c r="J48" t="str">
        <f ca="1">IFERROR(_xludf.XLOOKUP(C48,'Agent Master'!$A:$A,'Agent Master'!$B:$B,"Missing"),"Missing")</f>
        <v>Missing</v>
      </c>
      <c r="K48" t="str">
        <f ca="1">IFERROR(_xludf.XLOOKUP(C48,'Agent Master'!$A:$A,'Agent Master'!$C:$C,"Missing"),"Missing")</f>
        <v>Missing</v>
      </c>
      <c r="L48" t="str">
        <f t="shared" si="1"/>
        <v>September</v>
      </c>
      <c r="M48" t="str">
        <f>_xlfn.XLOOKUP('Transaction Data'!D48,ProductMap[Product Code],ProductMap[Product Name])</f>
        <v>DMT</v>
      </c>
      <c r="N48" t="str">
        <f t="shared" si="2"/>
        <v>2026-09</v>
      </c>
      <c r="O48" t="str" cm="1">
        <f t="array" ref="O48">IFERROR(_xlfn.XLOOKUP(C48,AgentMaster[[#All],[Agent ID]],AgentMaster[[#All],[Agent Name]]),"")</f>
        <v>Agent 116</v>
      </c>
      <c r="P48">
        <f t="shared" si="3"/>
        <v>15</v>
      </c>
    </row>
    <row r="49" spans="1:16" x14ac:dyDescent="0.3">
      <c r="A49" t="s">
        <v>156</v>
      </c>
      <c r="B49" s="5">
        <v>46274</v>
      </c>
      <c r="C49" t="s">
        <v>157</v>
      </c>
      <c r="D49" t="s">
        <v>110</v>
      </c>
      <c r="E49">
        <v>12500</v>
      </c>
      <c r="F49" t="s">
        <v>92</v>
      </c>
      <c r="G49" t="s">
        <v>73</v>
      </c>
      <c r="H49" t="s">
        <v>96</v>
      </c>
      <c r="I49" t="str">
        <f t="shared" si="0"/>
        <v>2026-09</v>
      </c>
      <c r="J49" t="str">
        <f ca="1">IFERROR(_xludf.XLOOKUP(C49,'Agent Master'!$A:$A,'Agent Master'!$B:$B,"Missing"),"Missing")</f>
        <v>Missing</v>
      </c>
      <c r="K49" t="str">
        <f ca="1">IFERROR(_xludf.XLOOKUP(C49,'Agent Master'!$A:$A,'Agent Master'!$C:$C,"Missing"),"Missing")</f>
        <v>Missing</v>
      </c>
      <c r="L49" t="str">
        <f t="shared" si="1"/>
        <v>September</v>
      </c>
      <c r="M49" t="str">
        <f>_xlfn.XLOOKUP('Transaction Data'!D49,ProductMap[Product Code],ProductMap[Product Name])</f>
        <v>DMT</v>
      </c>
      <c r="N49" t="str">
        <f t="shared" si="2"/>
        <v>2026-09</v>
      </c>
      <c r="O49" t="str" cm="1">
        <f t="array" ref="O49">IFERROR(_xlfn.XLOOKUP(C49,AgentMaster[[#All],[Agent ID]],AgentMaster[[#All],[Agent Name]]),"")</f>
        <v>Agent 106</v>
      </c>
      <c r="P49">
        <f t="shared" si="3"/>
        <v>8</v>
      </c>
    </row>
    <row r="50" spans="1:16" x14ac:dyDescent="0.3">
      <c r="A50" t="s">
        <v>158</v>
      </c>
      <c r="B50" s="5">
        <v>46294</v>
      </c>
      <c r="C50" t="s">
        <v>159</v>
      </c>
      <c r="D50" t="s">
        <v>90</v>
      </c>
      <c r="E50">
        <v>12500</v>
      </c>
      <c r="F50" t="s">
        <v>72</v>
      </c>
      <c r="G50" t="s">
        <v>73</v>
      </c>
      <c r="H50" t="s">
        <v>96</v>
      </c>
      <c r="I50" t="str">
        <f t="shared" si="0"/>
        <v>2026-09</v>
      </c>
      <c r="J50" t="str">
        <f ca="1">IFERROR(_xludf.XLOOKUP(C50,'Agent Master'!$A:$A,'Agent Master'!$B:$B,"Missing"),"Missing")</f>
        <v>Missing</v>
      </c>
      <c r="K50" t="str">
        <f ca="1">IFERROR(_xludf.XLOOKUP(C50,'Agent Master'!$A:$A,'Agent Master'!$C:$C,"Missing"),"Missing")</f>
        <v>Missing</v>
      </c>
      <c r="L50" t="str">
        <f t="shared" si="1"/>
        <v>September</v>
      </c>
      <c r="M50" t="str">
        <f>_xlfn.XLOOKUP('Transaction Data'!D50,ProductMap[Product Code],ProductMap[Product Name])</f>
        <v>UPI</v>
      </c>
      <c r="N50" t="str">
        <f t="shared" si="2"/>
        <v>2026-09</v>
      </c>
      <c r="O50" t="str" cm="1">
        <f t="array" ref="O50">IFERROR(_xlfn.XLOOKUP(C50,AgentMaster[[#All],[Agent ID]],AgentMaster[[#All],[Agent Name]]),"")</f>
        <v>Agent 117</v>
      </c>
      <c r="P50">
        <f t="shared" si="3"/>
        <v>12</v>
      </c>
    </row>
    <row r="51" spans="1:16" x14ac:dyDescent="0.3">
      <c r="A51" t="s">
        <v>160</v>
      </c>
      <c r="B51" s="5">
        <v>46260</v>
      </c>
      <c r="C51" t="s">
        <v>161</v>
      </c>
      <c r="D51" t="s">
        <v>77</v>
      </c>
      <c r="E51">
        <v>12500</v>
      </c>
      <c r="F51" t="s">
        <v>72</v>
      </c>
      <c r="G51" t="s">
        <v>84</v>
      </c>
      <c r="H51" t="s">
        <v>96</v>
      </c>
      <c r="I51" t="str">
        <f t="shared" si="0"/>
        <v>2026-08</v>
      </c>
      <c r="J51" t="str">
        <f ca="1">IFERROR(_xludf.XLOOKUP(C51,'Agent Master'!$A:$A,'Agent Master'!$B:$B,"Missing"),"Missing")</f>
        <v>Missing</v>
      </c>
      <c r="K51" t="str">
        <f ca="1">IFERROR(_xludf.XLOOKUP(C51,'Agent Master'!$A:$A,'Agent Master'!$C:$C,"Missing"),"Missing")</f>
        <v>Missing</v>
      </c>
      <c r="L51" t="str">
        <f t="shared" si="1"/>
        <v>August</v>
      </c>
      <c r="M51" t="str">
        <f>_xlfn.XLOOKUP('Transaction Data'!D51,ProductMap[Product Code],ProductMap[Product Name])</f>
        <v>MATM</v>
      </c>
      <c r="N51" t="str">
        <f t="shared" si="2"/>
        <v>2026-08</v>
      </c>
      <c r="O51" t="str" cm="1">
        <f t="array" ref="O51">IFERROR(_xlfn.XLOOKUP(C51,AgentMaster[[#All],[Agent ID]],AgentMaster[[#All],[Agent Name]]),"")</f>
        <v>Agent 109</v>
      </c>
      <c r="P51">
        <f t="shared" si="3"/>
        <v>16</v>
      </c>
    </row>
    <row r="52" spans="1:16" x14ac:dyDescent="0.3">
      <c r="A52" t="s">
        <v>162</v>
      </c>
      <c r="B52" s="5">
        <v>46294</v>
      </c>
      <c r="C52" t="s">
        <v>108</v>
      </c>
      <c r="D52" t="s">
        <v>71</v>
      </c>
      <c r="E52">
        <v>5000</v>
      </c>
      <c r="F52" t="s">
        <v>92</v>
      </c>
      <c r="G52" t="s">
        <v>73</v>
      </c>
      <c r="H52" t="s">
        <v>81</v>
      </c>
      <c r="I52" t="str">
        <f t="shared" si="0"/>
        <v>2026-09</v>
      </c>
      <c r="J52" t="str">
        <f ca="1">IFERROR(_xludf.XLOOKUP(C52,'Agent Master'!$A:$A,'Agent Master'!$B:$B,"Missing"),"Missing")</f>
        <v>Missing</v>
      </c>
      <c r="K52" t="str">
        <f ca="1">IFERROR(_xludf.XLOOKUP(C52,'Agent Master'!$A:$A,'Agent Master'!$C:$C,"Missing"),"Missing")</f>
        <v>Missing</v>
      </c>
      <c r="L52" t="str">
        <f t="shared" si="1"/>
        <v>September</v>
      </c>
      <c r="M52" t="str">
        <f>_xlfn.XLOOKUP('Transaction Data'!D52,ProductMap[Product Code],ProductMap[Product Name])</f>
        <v>AEPS</v>
      </c>
      <c r="N52" t="str">
        <f t="shared" si="2"/>
        <v>2026-09</v>
      </c>
      <c r="O52" t="str" cm="1">
        <f t="array" ref="O52">IFERROR(_xlfn.XLOOKUP(C52,AgentMaster[[#All],[Agent ID]],AgentMaster[[#All],[Agent Name]]),"")</f>
        <v>Agent 105</v>
      </c>
      <c r="P52">
        <f t="shared" si="3"/>
        <v>8</v>
      </c>
    </row>
    <row r="53" spans="1:16" x14ac:dyDescent="0.3">
      <c r="A53" t="s">
        <v>163</v>
      </c>
      <c r="B53" s="5">
        <v>46239</v>
      </c>
      <c r="C53" t="s">
        <v>129</v>
      </c>
      <c r="D53" t="s">
        <v>90</v>
      </c>
      <c r="E53">
        <v>7500</v>
      </c>
      <c r="F53" t="s">
        <v>72</v>
      </c>
      <c r="G53" t="s">
        <v>73</v>
      </c>
      <c r="H53" t="s">
        <v>96</v>
      </c>
      <c r="I53" t="str">
        <f t="shared" si="0"/>
        <v>2026-08</v>
      </c>
      <c r="J53" t="str">
        <f ca="1">IFERROR(_xludf.XLOOKUP(C53,'Agent Master'!$A:$A,'Agent Master'!$B:$B,"Missing"),"Missing")</f>
        <v>Missing</v>
      </c>
      <c r="K53" t="str">
        <f ca="1">IFERROR(_xludf.XLOOKUP(C53,'Agent Master'!$A:$A,'Agent Master'!$C:$C,"Missing"),"Missing")</f>
        <v>Missing</v>
      </c>
      <c r="L53" t="str">
        <f t="shared" si="1"/>
        <v>August</v>
      </c>
      <c r="M53" t="str">
        <f>_xlfn.XLOOKUP('Transaction Data'!D53,ProductMap[Product Code],ProductMap[Product Name])</f>
        <v>UPI</v>
      </c>
      <c r="N53" t="str">
        <f t="shared" si="2"/>
        <v>2026-08</v>
      </c>
      <c r="O53" t="str" cm="1">
        <f t="array" ref="O53">IFERROR(_xlfn.XLOOKUP(C53,AgentMaster[[#All],[Agent ID]],AgentMaster[[#All],[Agent Name]]),"")</f>
        <v>Agent 135</v>
      </c>
      <c r="P53">
        <f t="shared" si="3"/>
        <v>19</v>
      </c>
    </row>
    <row r="54" spans="1:16" x14ac:dyDescent="0.3">
      <c r="A54" t="s">
        <v>164</v>
      </c>
      <c r="B54" s="5">
        <v>46291</v>
      </c>
      <c r="C54" t="s">
        <v>108</v>
      </c>
      <c r="D54" t="s">
        <v>90</v>
      </c>
      <c r="E54">
        <v>2000</v>
      </c>
      <c r="F54" t="s">
        <v>72</v>
      </c>
      <c r="G54" t="s">
        <v>73</v>
      </c>
      <c r="H54" t="s">
        <v>78</v>
      </c>
      <c r="I54" t="str">
        <f t="shared" si="0"/>
        <v>2026-09</v>
      </c>
      <c r="J54" t="str">
        <f ca="1">IFERROR(_xludf.XLOOKUP(C54,'Agent Master'!$A:$A,'Agent Master'!$B:$B,"Missing"),"Missing")</f>
        <v>Missing</v>
      </c>
      <c r="K54" t="str">
        <f ca="1">IFERROR(_xludf.XLOOKUP(C54,'Agent Master'!$A:$A,'Agent Master'!$C:$C,"Missing"),"Missing")</f>
        <v>Missing</v>
      </c>
      <c r="L54" t="str">
        <f t="shared" si="1"/>
        <v>September</v>
      </c>
      <c r="M54" t="str">
        <f>_xlfn.XLOOKUP('Transaction Data'!D54,ProductMap[Product Code],ProductMap[Product Name])</f>
        <v>UPI</v>
      </c>
      <c r="N54" t="str">
        <f t="shared" si="2"/>
        <v>2026-09</v>
      </c>
      <c r="O54" t="str" cm="1">
        <f t="array" ref="O54">IFERROR(_xlfn.XLOOKUP(C54,AgentMaster[[#All],[Agent ID]],AgentMaster[[#All],[Agent Name]]),"")</f>
        <v>Agent 105</v>
      </c>
      <c r="P54">
        <f t="shared" si="3"/>
        <v>8</v>
      </c>
    </row>
    <row r="55" spans="1:16" x14ac:dyDescent="0.3">
      <c r="A55" t="s">
        <v>165</v>
      </c>
      <c r="B55" s="5">
        <v>46288</v>
      </c>
      <c r="C55" t="s">
        <v>129</v>
      </c>
      <c r="D55" t="s">
        <v>77</v>
      </c>
      <c r="E55">
        <v>1500</v>
      </c>
      <c r="F55" t="s">
        <v>92</v>
      </c>
      <c r="G55" t="s">
        <v>73</v>
      </c>
      <c r="H55" t="s">
        <v>81</v>
      </c>
      <c r="I55" t="str">
        <f t="shared" si="0"/>
        <v>2026-09</v>
      </c>
      <c r="J55" t="str">
        <f ca="1">IFERROR(_xludf.XLOOKUP(C55,'Agent Master'!$A:$A,'Agent Master'!$B:$B,"Missing"),"Missing")</f>
        <v>Missing</v>
      </c>
      <c r="K55" t="str">
        <f ca="1">IFERROR(_xludf.XLOOKUP(C55,'Agent Master'!$A:$A,'Agent Master'!$C:$C,"Missing"),"Missing")</f>
        <v>Missing</v>
      </c>
      <c r="L55" t="str">
        <f t="shared" si="1"/>
        <v>September</v>
      </c>
      <c r="M55" t="str">
        <f>_xlfn.XLOOKUP('Transaction Data'!D55,ProductMap[Product Code],ProductMap[Product Name])</f>
        <v>MATM</v>
      </c>
      <c r="N55" t="str">
        <f t="shared" si="2"/>
        <v>2026-09</v>
      </c>
      <c r="O55" t="str" cm="1">
        <f t="array" ref="O55">IFERROR(_xlfn.XLOOKUP(C55,AgentMaster[[#All],[Agent ID]],AgentMaster[[#All],[Agent Name]]),"")</f>
        <v>Agent 135</v>
      </c>
      <c r="P55">
        <f t="shared" si="3"/>
        <v>19</v>
      </c>
    </row>
    <row r="56" spans="1:16" x14ac:dyDescent="0.3">
      <c r="A56" t="s">
        <v>166</v>
      </c>
      <c r="B56" s="5">
        <v>46277</v>
      </c>
      <c r="C56" t="s">
        <v>112</v>
      </c>
      <c r="D56" t="s">
        <v>87</v>
      </c>
      <c r="E56">
        <v>12500</v>
      </c>
      <c r="F56" t="s">
        <v>72</v>
      </c>
      <c r="G56" t="s">
        <v>73</v>
      </c>
      <c r="H56" t="s">
        <v>96</v>
      </c>
      <c r="I56" t="str">
        <f t="shared" si="0"/>
        <v>2026-09</v>
      </c>
      <c r="J56" t="str">
        <f ca="1">IFERROR(_xludf.XLOOKUP(C56,'Agent Master'!$A:$A,'Agent Master'!$B:$B,"Missing"),"Missing")</f>
        <v>Missing</v>
      </c>
      <c r="K56" t="str">
        <f ca="1">IFERROR(_xludf.XLOOKUP(C56,'Agent Master'!$A:$A,'Agent Master'!$C:$C,"Missing"),"Missing")</f>
        <v>Missing</v>
      </c>
      <c r="L56" t="str">
        <f t="shared" si="1"/>
        <v>September</v>
      </c>
      <c r="M56" t="str">
        <f>_xlfn.XLOOKUP('Transaction Data'!D56,ProductMap[Product Code],ProductMap[Product Name])</f>
        <v>APAY</v>
      </c>
      <c r="N56" t="str">
        <f t="shared" si="2"/>
        <v>2026-09</v>
      </c>
      <c r="O56" t="str" cm="1">
        <f t="array" ref="O56">IFERROR(_xlfn.XLOOKUP(C56,AgentMaster[[#All],[Agent ID]],AgentMaster[[#All],[Agent Name]]),"")</f>
        <v>Agent 136</v>
      </c>
      <c r="P56">
        <f t="shared" si="3"/>
        <v>16</v>
      </c>
    </row>
    <row r="57" spans="1:16" x14ac:dyDescent="0.3">
      <c r="A57" t="s">
        <v>167</v>
      </c>
      <c r="B57" s="5">
        <v>46242</v>
      </c>
      <c r="C57" t="s">
        <v>76</v>
      </c>
      <c r="D57" t="s">
        <v>77</v>
      </c>
      <c r="E57">
        <v>7500</v>
      </c>
      <c r="F57" t="s">
        <v>72</v>
      </c>
      <c r="G57" t="s">
        <v>84</v>
      </c>
      <c r="H57" t="s">
        <v>96</v>
      </c>
      <c r="I57" t="str">
        <f t="shared" si="0"/>
        <v>2026-08</v>
      </c>
      <c r="J57" t="str">
        <f ca="1">IFERROR(_xludf.XLOOKUP(C57,'Agent Master'!$A:$A,'Agent Master'!$B:$B,"Missing"),"Missing")</f>
        <v>Missing</v>
      </c>
      <c r="K57" t="str">
        <f ca="1">IFERROR(_xludf.XLOOKUP(C57,'Agent Master'!$A:$A,'Agent Master'!$C:$C,"Missing"),"Missing")</f>
        <v>Missing</v>
      </c>
      <c r="L57" t="str">
        <f t="shared" si="1"/>
        <v>August</v>
      </c>
      <c r="M57" t="str">
        <f>_xlfn.XLOOKUP('Transaction Data'!D57,ProductMap[Product Code],ProductMap[Product Name])</f>
        <v>MATM</v>
      </c>
      <c r="N57" t="str">
        <f t="shared" si="2"/>
        <v>2026-08</v>
      </c>
      <c r="O57" t="str" cm="1">
        <f t="array" ref="O57">IFERROR(_xlfn.XLOOKUP(C57,AgentMaster[[#All],[Agent ID]],AgentMaster[[#All],[Agent Name]]),"")</f>
        <v>Agent 107</v>
      </c>
      <c r="P57">
        <f t="shared" si="3"/>
        <v>16</v>
      </c>
    </row>
    <row r="58" spans="1:16" x14ac:dyDescent="0.3">
      <c r="A58" t="s">
        <v>168</v>
      </c>
      <c r="B58" s="5">
        <v>46273</v>
      </c>
      <c r="C58" t="s">
        <v>150</v>
      </c>
      <c r="D58" t="s">
        <v>77</v>
      </c>
      <c r="E58">
        <v>2000</v>
      </c>
      <c r="F58" t="s">
        <v>72</v>
      </c>
      <c r="G58" t="s">
        <v>73</v>
      </c>
      <c r="H58" t="s">
        <v>96</v>
      </c>
      <c r="I58" t="str">
        <f t="shared" si="0"/>
        <v>2026-09</v>
      </c>
      <c r="J58" t="str">
        <f ca="1">IFERROR(_xludf.XLOOKUP(C58,'Agent Master'!$A:$A,'Agent Master'!$B:$B,"Missing"),"Missing")</f>
        <v>Missing</v>
      </c>
      <c r="K58" t="str">
        <f ca="1">IFERROR(_xludf.XLOOKUP(C58,'Agent Master'!$A:$A,'Agent Master'!$C:$C,"Missing"),"Missing")</f>
        <v>Missing</v>
      </c>
      <c r="L58" t="str">
        <f t="shared" si="1"/>
        <v>September</v>
      </c>
      <c r="M58" t="str">
        <f>_xlfn.XLOOKUP('Transaction Data'!D58,ProductMap[Product Code],ProductMap[Product Name])</f>
        <v>MATM</v>
      </c>
      <c r="N58" t="str">
        <f t="shared" si="2"/>
        <v>2026-09</v>
      </c>
      <c r="O58" t="str" cm="1">
        <f t="array" ref="O58">IFERROR(_xlfn.XLOOKUP(C58,AgentMaster[[#All],[Agent ID]],AgentMaster[[#All],[Agent Name]]),"")</f>
        <v>Agent 114</v>
      </c>
      <c r="P58">
        <f t="shared" si="3"/>
        <v>8</v>
      </c>
    </row>
    <row r="59" spans="1:16" x14ac:dyDescent="0.3">
      <c r="A59" t="s">
        <v>169</v>
      </c>
      <c r="B59" s="5">
        <v>46267</v>
      </c>
      <c r="C59" t="s">
        <v>136</v>
      </c>
      <c r="D59" t="s">
        <v>87</v>
      </c>
      <c r="E59">
        <v>250</v>
      </c>
      <c r="F59" t="s">
        <v>72</v>
      </c>
      <c r="G59" t="s">
        <v>73</v>
      </c>
      <c r="H59" t="s">
        <v>78</v>
      </c>
      <c r="I59" t="str">
        <f t="shared" si="0"/>
        <v>2026-09</v>
      </c>
      <c r="J59" t="str">
        <f ca="1">IFERROR(_xludf.XLOOKUP(C59,'Agent Master'!$A:$A,'Agent Master'!$B:$B,"Missing"),"Missing")</f>
        <v>Missing</v>
      </c>
      <c r="K59" t="str">
        <f ca="1">IFERROR(_xludf.XLOOKUP(C59,'Agent Master'!$A:$A,'Agent Master'!$C:$C,"Missing"),"Missing")</f>
        <v>Missing</v>
      </c>
      <c r="L59" t="str">
        <f t="shared" si="1"/>
        <v>September</v>
      </c>
      <c r="M59" t="str">
        <f>_xlfn.XLOOKUP('Transaction Data'!D59,ProductMap[Product Code],ProductMap[Product Name])</f>
        <v>APAY</v>
      </c>
      <c r="N59" t="str">
        <f t="shared" si="2"/>
        <v>2026-09</v>
      </c>
      <c r="O59" t="str" cm="1">
        <f t="array" ref="O59">IFERROR(_xlfn.XLOOKUP(C59,AgentMaster[[#All],[Agent ID]],AgentMaster[[#All],[Agent Name]]),"")</f>
        <v>Agent 132</v>
      </c>
      <c r="P59">
        <f t="shared" si="3"/>
        <v>8</v>
      </c>
    </row>
    <row r="60" spans="1:16" x14ac:dyDescent="0.3">
      <c r="A60" t="s">
        <v>170</v>
      </c>
      <c r="B60" s="5">
        <v>46288</v>
      </c>
      <c r="C60" t="s">
        <v>89</v>
      </c>
      <c r="D60" t="s">
        <v>71</v>
      </c>
      <c r="E60">
        <v>250</v>
      </c>
      <c r="F60" t="s">
        <v>72</v>
      </c>
      <c r="G60" t="s">
        <v>73</v>
      </c>
      <c r="H60" t="s">
        <v>96</v>
      </c>
      <c r="I60" t="str">
        <f t="shared" si="0"/>
        <v>2026-09</v>
      </c>
      <c r="J60" t="str">
        <f ca="1">IFERROR(_xludf.XLOOKUP(C60,'Agent Master'!$A:$A,'Agent Master'!$B:$B,"Missing"),"Missing")</f>
        <v>Missing</v>
      </c>
      <c r="K60" t="str">
        <f ca="1">IFERROR(_xludf.XLOOKUP(C60,'Agent Master'!$A:$A,'Agent Master'!$C:$C,"Missing"),"Missing")</f>
        <v>Missing</v>
      </c>
      <c r="L60" t="str">
        <f t="shared" si="1"/>
        <v>September</v>
      </c>
      <c r="M60" t="str">
        <f>_xlfn.XLOOKUP('Transaction Data'!D60,ProductMap[Product Code],ProductMap[Product Name])</f>
        <v>AEPS</v>
      </c>
      <c r="N60" t="str">
        <f t="shared" si="2"/>
        <v>2026-09</v>
      </c>
      <c r="O60" t="str" cm="1">
        <f t="array" ref="O60">IFERROR(_xlfn.XLOOKUP(C60,AgentMaster[[#All],[Agent ID]],AgentMaster[[#All],[Agent Name]]),"")</f>
        <v>Agent 118</v>
      </c>
      <c r="P60">
        <f t="shared" si="3"/>
        <v>11</v>
      </c>
    </row>
    <row r="61" spans="1:16" x14ac:dyDescent="0.3">
      <c r="A61" t="s">
        <v>171</v>
      </c>
      <c r="B61" s="5">
        <v>46245</v>
      </c>
      <c r="C61" t="s">
        <v>172</v>
      </c>
      <c r="D61" t="s">
        <v>95</v>
      </c>
      <c r="E61">
        <v>15000</v>
      </c>
      <c r="F61" t="s">
        <v>72</v>
      </c>
      <c r="G61" t="s">
        <v>73</v>
      </c>
      <c r="H61" t="s">
        <v>81</v>
      </c>
      <c r="I61" t="str">
        <f t="shared" si="0"/>
        <v>2026-08</v>
      </c>
      <c r="J61" t="str">
        <f ca="1">IFERROR(_xludf.XLOOKUP(C61,'Agent Master'!$A:$A,'Agent Master'!$B:$B,"Missing"),"Missing")</f>
        <v>Missing</v>
      </c>
      <c r="K61" t="str">
        <f ca="1">IFERROR(_xludf.XLOOKUP(C61,'Agent Master'!$A:$A,'Agent Master'!$C:$C,"Missing"),"Missing")</f>
        <v>Missing</v>
      </c>
      <c r="L61" t="str">
        <f t="shared" si="1"/>
        <v>August</v>
      </c>
      <c r="M61" t="str">
        <f>_xlfn.XLOOKUP('Transaction Data'!D61,ProductMap[Product Code],ProductMap[Product Name])</f>
        <v>BBPS</v>
      </c>
      <c r="N61" t="str">
        <f t="shared" si="2"/>
        <v>2026-08</v>
      </c>
      <c r="O61" t="str" cm="1">
        <f t="array" ref="O61">IFERROR(_xlfn.XLOOKUP(C61,AgentMaster[[#All],[Agent ID]],AgentMaster[[#All],[Agent Name]]),"")</f>
        <v>Agent 129</v>
      </c>
      <c r="P61">
        <f t="shared" si="3"/>
        <v>18</v>
      </c>
    </row>
    <row r="62" spans="1:16" x14ac:dyDescent="0.3">
      <c r="A62" t="s">
        <v>173</v>
      </c>
      <c r="B62" s="5">
        <v>46242</v>
      </c>
      <c r="C62" t="s">
        <v>108</v>
      </c>
      <c r="D62" t="s">
        <v>77</v>
      </c>
      <c r="E62">
        <v>750</v>
      </c>
      <c r="F62" t="s">
        <v>72</v>
      </c>
      <c r="G62" t="s">
        <v>73</v>
      </c>
      <c r="H62" t="s">
        <v>96</v>
      </c>
      <c r="I62" t="str">
        <f t="shared" si="0"/>
        <v>2026-08</v>
      </c>
      <c r="J62" t="str">
        <f ca="1">IFERROR(_xludf.XLOOKUP(C62,'Agent Master'!$A:$A,'Agent Master'!$B:$B,"Missing"),"Missing")</f>
        <v>Missing</v>
      </c>
      <c r="K62" t="str">
        <f ca="1">IFERROR(_xludf.XLOOKUP(C62,'Agent Master'!$A:$A,'Agent Master'!$C:$C,"Missing"),"Missing")</f>
        <v>Missing</v>
      </c>
      <c r="L62" t="str">
        <f t="shared" si="1"/>
        <v>August</v>
      </c>
      <c r="M62" t="str">
        <f>_xlfn.XLOOKUP('Transaction Data'!D62,ProductMap[Product Code],ProductMap[Product Name])</f>
        <v>MATM</v>
      </c>
      <c r="N62" t="str">
        <f t="shared" si="2"/>
        <v>2026-08</v>
      </c>
      <c r="O62" t="str" cm="1">
        <f t="array" ref="O62">IFERROR(_xlfn.XLOOKUP(C62,AgentMaster[[#All],[Agent ID]],AgentMaster[[#All],[Agent Name]]),"")</f>
        <v>Agent 105</v>
      </c>
      <c r="P62">
        <f t="shared" si="3"/>
        <v>8</v>
      </c>
    </row>
    <row r="63" spans="1:16" x14ac:dyDescent="0.3">
      <c r="A63" t="s">
        <v>174</v>
      </c>
      <c r="B63" s="5">
        <v>46272</v>
      </c>
      <c r="C63" t="s">
        <v>112</v>
      </c>
      <c r="D63" t="s">
        <v>90</v>
      </c>
      <c r="E63">
        <v>2500</v>
      </c>
      <c r="F63" t="s">
        <v>72</v>
      </c>
      <c r="G63" t="s">
        <v>73</v>
      </c>
      <c r="H63" t="s">
        <v>96</v>
      </c>
      <c r="I63" t="str">
        <f t="shared" si="0"/>
        <v>2026-09</v>
      </c>
      <c r="J63" t="str">
        <f ca="1">IFERROR(_xludf.XLOOKUP(C63,'Agent Master'!$A:$A,'Agent Master'!$B:$B,"Missing"),"Missing")</f>
        <v>Missing</v>
      </c>
      <c r="K63" t="str">
        <f ca="1">IFERROR(_xludf.XLOOKUP(C63,'Agent Master'!$A:$A,'Agent Master'!$C:$C,"Missing"),"Missing")</f>
        <v>Missing</v>
      </c>
      <c r="L63" t="str">
        <f t="shared" si="1"/>
        <v>September</v>
      </c>
      <c r="M63" t="str">
        <f>_xlfn.XLOOKUP('Transaction Data'!D63,ProductMap[Product Code],ProductMap[Product Name])</f>
        <v>UPI</v>
      </c>
      <c r="N63" t="str">
        <f t="shared" si="2"/>
        <v>2026-09</v>
      </c>
      <c r="O63" t="str" cm="1">
        <f t="array" ref="O63">IFERROR(_xlfn.XLOOKUP(C63,AgentMaster[[#All],[Agent ID]],AgentMaster[[#All],[Agent Name]]),"")</f>
        <v>Agent 136</v>
      </c>
      <c r="P63">
        <f t="shared" si="3"/>
        <v>16</v>
      </c>
    </row>
    <row r="64" spans="1:16" x14ac:dyDescent="0.3">
      <c r="A64" t="s">
        <v>175</v>
      </c>
      <c r="B64" s="5">
        <v>46258</v>
      </c>
      <c r="C64" t="s">
        <v>134</v>
      </c>
      <c r="D64" t="s">
        <v>87</v>
      </c>
      <c r="E64">
        <v>1000</v>
      </c>
      <c r="F64" t="s">
        <v>72</v>
      </c>
      <c r="G64" t="s">
        <v>73</v>
      </c>
      <c r="H64" t="s">
        <v>81</v>
      </c>
      <c r="I64" t="str">
        <f t="shared" si="0"/>
        <v>2026-08</v>
      </c>
      <c r="J64" t="str">
        <f ca="1">IFERROR(_xludf.XLOOKUP(C64,'Agent Master'!$A:$A,'Agent Master'!$B:$B,"Missing"),"Missing")</f>
        <v>Missing</v>
      </c>
      <c r="K64" t="str">
        <f ca="1">IFERROR(_xludf.XLOOKUP(C64,'Agent Master'!$A:$A,'Agent Master'!$C:$C,"Missing"),"Missing")</f>
        <v>Missing</v>
      </c>
      <c r="L64" t="str">
        <f t="shared" si="1"/>
        <v>August</v>
      </c>
      <c r="M64" t="str">
        <f>_xlfn.XLOOKUP('Transaction Data'!D64,ProductMap[Product Code],ProductMap[Product Name])</f>
        <v>APAY</v>
      </c>
      <c r="N64" t="str">
        <f t="shared" si="2"/>
        <v>2026-08</v>
      </c>
      <c r="O64" t="str" cm="1">
        <f t="array" ref="O64">IFERROR(_xlfn.XLOOKUP(C64,AgentMaster[[#All],[Agent ID]],AgentMaster[[#All],[Agent Name]]),"")</f>
        <v>Agent 103</v>
      </c>
      <c r="P64">
        <f t="shared" si="3"/>
        <v>11</v>
      </c>
    </row>
    <row r="65" spans="1:16" x14ac:dyDescent="0.3">
      <c r="A65" t="s">
        <v>176</v>
      </c>
      <c r="B65" s="5">
        <v>46257</v>
      </c>
      <c r="C65" t="s">
        <v>112</v>
      </c>
      <c r="D65" t="s">
        <v>110</v>
      </c>
      <c r="E65">
        <v>10000</v>
      </c>
      <c r="F65" t="s">
        <v>72</v>
      </c>
      <c r="G65" t="s">
        <v>73</v>
      </c>
      <c r="H65" t="s">
        <v>74</v>
      </c>
      <c r="I65" t="str">
        <f t="shared" si="0"/>
        <v>2026-08</v>
      </c>
      <c r="J65" t="str">
        <f ca="1">IFERROR(_xludf.XLOOKUP(C65,'Agent Master'!$A:$A,'Agent Master'!$B:$B,"Missing"),"Missing")</f>
        <v>Missing</v>
      </c>
      <c r="K65" t="str">
        <f ca="1">IFERROR(_xludf.XLOOKUP(C65,'Agent Master'!$A:$A,'Agent Master'!$C:$C,"Missing"),"Missing")</f>
        <v>Missing</v>
      </c>
      <c r="L65" t="str">
        <f t="shared" si="1"/>
        <v>August</v>
      </c>
      <c r="M65" t="str">
        <f>_xlfn.XLOOKUP('Transaction Data'!D65,ProductMap[Product Code],ProductMap[Product Name])</f>
        <v>DMT</v>
      </c>
      <c r="N65" t="str">
        <f t="shared" si="2"/>
        <v>2026-08</v>
      </c>
      <c r="O65" t="str" cm="1">
        <f t="array" ref="O65">IFERROR(_xlfn.XLOOKUP(C65,AgentMaster[[#All],[Agent ID]],AgentMaster[[#All],[Agent Name]]),"")</f>
        <v>Agent 136</v>
      </c>
      <c r="P65">
        <f t="shared" si="3"/>
        <v>16</v>
      </c>
    </row>
    <row r="66" spans="1:16" x14ac:dyDescent="0.3">
      <c r="A66" t="s">
        <v>177</v>
      </c>
      <c r="B66" s="5">
        <v>46286</v>
      </c>
      <c r="C66" t="s">
        <v>178</v>
      </c>
      <c r="D66" t="s">
        <v>110</v>
      </c>
      <c r="E66">
        <v>250</v>
      </c>
      <c r="F66" t="s">
        <v>72</v>
      </c>
      <c r="G66" t="s">
        <v>73</v>
      </c>
      <c r="H66" t="s">
        <v>96</v>
      </c>
      <c r="I66" t="str">
        <f t="shared" ref="I66:I129" si="5">TEXT(B66,"yyyy-mm")</f>
        <v>2026-09</v>
      </c>
      <c r="J66" t="str">
        <f ca="1">IFERROR(_xludf.XLOOKUP(C66,'Agent Master'!$A:$A,'Agent Master'!$B:$B,"Missing"),"Missing")</f>
        <v>Missing</v>
      </c>
      <c r="K66" t="str">
        <f ca="1">IFERROR(_xludf.XLOOKUP(C66,'Agent Master'!$A:$A,'Agent Master'!$C:$C,"Missing"),"Missing")</f>
        <v>Missing</v>
      </c>
      <c r="L66" t="str">
        <f t="shared" si="1"/>
        <v>September</v>
      </c>
      <c r="M66" t="str">
        <f>_xlfn.XLOOKUP('Transaction Data'!D66,ProductMap[Product Code],ProductMap[Product Name])</f>
        <v>DMT</v>
      </c>
      <c r="N66" t="str">
        <f t="shared" si="2"/>
        <v>2026-09</v>
      </c>
      <c r="O66" t="str" cm="1">
        <f t="array" ref="O66">IFERROR(_xlfn.XLOOKUP(C66,AgentMaster[[#All],[Agent ID]],AgentMaster[[#All],[Agent Name]]),"")</f>
        <v>Agent 112</v>
      </c>
      <c r="P66">
        <f t="shared" si="3"/>
        <v>7</v>
      </c>
    </row>
    <row r="67" spans="1:16" x14ac:dyDescent="0.3">
      <c r="A67" t="s">
        <v>179</v>
      </c>
      <c r="B67" s="5">
        <v>46285</v>
      </c>
      <c r="C67" t="s">
        <v>180</v>
      </c>
      <c r="D67" t="s">
        <v>77</v>
      </c>
      <c r="E67">
        <v>15000</v>
      </c>
      <c r="F67" t="s">
        <v>72</v>
      </c>
      <c r="G67" t="s">
        <v>84</v>
      </c>
      <c r="H67" t="s">
        <v>74</v>
      </c>
      <c r="I67" t="str">
        <f t="shared" si="5"/>
        <v>2026-09</v>
      </c>
      <c r="J67" t="str">
        <f ca="1">IFERROR(_xludf.XLOOKUP(C67,'Agent Master'!$A:$A,'Agent Master'!$B:$B,"Missing"),"Missing")</f>
        <v>Missing</v>
      </c>
      <c r="K67" t="str">
        <f ca="1">IFERROR(_xludf.XLOOKUP(C67,'Agent Master'!$A:$A,'Agent Master'!$C:$C,"Missing"),"Missing")</f>
        <v>Missing</v>
      </c>
      <c r="L67" t="str">
        <f t="shared" ref="L67:L130" si="6">TEXT(B67,"mmmm")</f>
        <v>September</v>
      </c>
      <c r="M67" t="str">
        <f>_xlfn.XLOOKUP('Transaction Data'!D67,ProductMap[Product Code],ProductMap[Product Name])</f>
        <v>MATM</v>
      </c>
      <c r="N67" t="str">
        <f t="shared" ref="N67:N130" si="7">TEXT(B67,"yyyy-mm")</f>
        <v>2026-09</v>
      </c>
      <c r="O67" t="str" cm="1">
        <f t="array" ref="O67">IFERROR(_xlfn.XLOOKUP(C67,AgentMaster[[#All],[Agent ID]],AgentMaster[[#All],[Agent Name]]),"")</f>
        <v>Agent 127</v>
      </c>
      <c r="P67">
        <f t="shared" ref="P67:P130" si="8">COUNTIFS(O:O,O67,F:F,"Success")</f>
        <v>11</v>
      </c>
    </row>
    <row r="68" spans="1:16" x14ac:dyDescent="0.3">
      <c r="A68" t="s">
        <v>181</v>
      </c>
      <c r="B68" s="5">
        <v>46285</v>
      </c>
      <c r="C68" t="s">
        <v>76</v>
      </c>
      <c r="D68" t="s">
        <v>110</v>
      </c>
      <c r="E68">
        <v>250</v>
      </c>
      <c r="F68" t="s">
        <v>72</v>
      </c>
      <c r="G68" t="s">
        <v>73</v>
      </c>
      <c r="H68" t="s">
        <v>74</v>
      </c>
      <c r="I68" t="str">
        <f t="shared" si="5"/>
        <v>2026-09</v>
      </c>
      <c r="J68" t="str">
        <f ca="1">IFERROR(_xludf.XLOOKUP(C68,'Agent Master'!$A:$A,'Agent Master'!$B:$B,"Missing"),"Missing")</f>
        <v>Missing</v>
      </c>
      <c r="K68" t="str">
        <f ca="1">IFERROR(_xludf.XLOOKUP(C68,'Agent Master'!$A:$A,'Agent Master'!$C:$C,"Missing"),"Missing")</f>
        <v>Missing</v>
      </c>
      <c r="L68" t="str">
        <f t="shared" si="6"/>
        <v>September</v>
      </c>
      <c r="M68" t="str">
        <f>_xlfn.XLOOKUP('Transaction Data'!D68,ProductMap[Product Code],ProductMap[Product Name])</f>
        <v>DMT</v>
      </c>
      <c r="N68" t="str">
        <f t="shared" si="7"/>
        <v>2026-09</v>
      </c>
      <c r="O68" t="str" cm="1">
        <f t="array" ref="O68">IFERROR(_xlfn.XLOOKUP(C68,AgentMaster[[#All],[Agent ID]],AgentMaster[[#All],[Agent Name]]),"")</f>
        <v>Agent 107</v>
      </c>
      <c r="P68">
        <f t="shared" si="8"/>
        <v>16</v>
      </c>
    </row>
    <row r="69" spans="1:16" x14ac:dyDescent="0.3">
      <c r="A69" t="s">
        <v>182</v>
      </c>
      <c r="B69" s="5">
        <v>46287</v>
      </c>
      <c r="C69" t="s">
        <v>94</v>
      </c>
      <c r="D69" t="s">
        <v>87</v>
      </c>
      <c r="E69">
        <v>1500</v>
      </c>
      <c r="F69" t="s">
        <v>72</v>
      </c>
      <c r="G69" t="s">
        <v>73</v>
      </c>
      <c r="H69" t="s">
        <v>81</v>
      </c>
      <c r="I69" t="str">
        <f t="shared" si="5"/>
        <v>2026-09</v>
      </c>
      <c r="J69" t="str">
        <f ca="1">IFERROR(_xludf.XLOOKUP(C69,'Agent Master'!$A:$A,'Agent Master'!$B:$B,"Missing"),"Missing")</f>
        <v>Missing</v>
      </c>
      <c r="K69" t="str">
        <f ca="1">IFERROR(_xludf.XLOOKUP(C69,'Agent Master'!$A:$A,'Agent Master'!$C:$C,"Missing"),"Missing")</f>
        <v>Missing</v>
      </c>
      <c r="L69" t="str">
        <f t="shared" si="6"/>
        <v>September</v>
      </c>
      <c r="M69" t="str">
        <f>_xlfn.XLOOKUP('Transaction Data'!D69,ProductMap[Product Code],ProductMap[Product Name])</f>
        <v>APAY</v>
      </c>
      <c r="N69" t="str">
        <f t="shared" si="7"/>
        <v>2026-09</v>
      </c>
      <c r="O69" t="str" cm="1">
        <f t="array" ref="O69">IFERROR(_xlfn.XLOOKUP(C69,AgentMaster[[#All],[Agent ID]],AgentMaster[[#All],[Agent Name]]),"")</f>
        <v>Agent 130</v>
      </c>
      <c r="P69">
        <f t="shared" si="8"/>
        <v>16</v>
      </c>
    </row>
    <row r="70" spans="1:16" x14ac:dyDescent="0.3">
      <c r="A70" t="s">
        <v>183</v>
      </c>
      <c r="B70" s="5">
        <v>46277</v>
      </c>
      <c r="C70" t="s">
        <v>83</v>
      </c>
      <c r="D70" t="s">
        <v>110</v>
      </c>
      <c r="E70">
        <v>2000</v>
      </c>
      <c r="F70" t="s">
        <v>72</v>
      </c>
      <c r="G70" t="s">
        <v>73</v>
      </c>
      <c r="H70" t="s">
        <v>96</v>
      </c>
      <c r="I70" t="str">
        <f t="shared" si="5"/>
        <v>2026-09</v>
      </c>
      <c r="J70" t="str">
        <f ca="1">IFERROR(_xludf.XLOOKUP(C70,'Agent Master'!$A:$A,'Agent Master'!$B:$B,"Missing"),"Missing")</f>
        <v>Missing</v>
      </c>
      <c r="K70" t="str">
        <f ca="1">IFERROR(_xludf.XLOOKUP(C70,'Agent Master'!$A:$A,'Agent Master'!$C:$C,"Missing"),"Missing")</f>
        <v>Missing</v>
      </c>
      <c r="L70" t="str">
        <f t="shared" si="6"/>
        <v>September</v>
      </c>
      <c r="M70" t="str">
        <f>_xlfn.XLOOKUP('Transaction Data'!D70,ProductMap[Product Code],ProductMap[Product Name])</f>
        <v>DMT</v>
      </c>
      <c r="N70" t="str">
        <f t="shared" si="7"/>
        <v>2026-09</v>
      </c>
      <c r="O70" t="str" cm="1">
        <f t="array" ref="O70">IFERROR(_xlfn.XLOOKUP(C70,AgentMaster[[#All],[Agent ID]],AgentMaster[[#All],[Agent Name]]),"")</f>
        <v>Agent 113</v>
      </c>
      <c r="P70">
        <f t="shared" si="8"/>
        <v>12</v>
      </c>
    </row>
    <row r="71" spans="1:16" x14ac:dyDescent="0.3">
      <c r="A71" t="s">
        <v>184</v>
      </c>
      <c r="B71" s="5">
        <v>46257</v>
      </c>
      <c r="D71" t="s">
        <v>95</v>
      </c>
      <c r="E71">
        <v>2500</v>
      </c>
      <c r="F71" t="s">
        <v>72</v>
      </c>
      <c r="G71" t="s">
        <v>84</v>
      </c>
      <c r="H71" t="s">
        <v>81</v>
      </c>
      <c r="I71" t="str">
        <f t="shared" si="5"/>
        <v>2026-08</v>
      </c>
      <c r="J71" t="str">
        <f ca="1">IFERROR(_xludf.XLOOKUP(C71,'Agent Master'!$A:$A,'Agent Master'!$B:$B,"Missing"),"Missing")</f>
        <v>Missing</v>
      </c>
      <c r="K71" t="str">
        <f ca="1">IFERROR(_xludf.XLOOKUP(C71,'Agent Master'!$A:$A,'Agent Master'!$C:$C,"Missing"),"Missing")</f>
        <v>Missing</v>
      </c>
      <c r="L71" t="str">
        <f t="shared" si="6"/>
        <v>August</v>
      </c>
      <c r="M71" t="str">
        <f>_xlfn.XLOOKUP('Transaction Data'!D71,ProductMap[Product Code],ProductMap[Product Name])</f>
        <v>BBPS</v>
      </c>
      <c r="N71" t="str">
        <f t="shared" si="7"/>
        <v>2026-08</v>
      </c>
      <c r="O71" t="str" cm="1">
        <f t="array" ref="O71">IFERROR(_xlfn.XLOOKUP(C71,AgentMaster[[#All],[Agent ID]],AgentMaster[[#All],[Agent Name]]),"")</f>
        <v/>
      </c>
      <c r="P71">
        <f t="shared" si="8"/>
        <v>25</v>
      </c>
    </row>
    <row r="72" spans="1:16" x14ac:dyDescent="0.3">
      <c r="A72" t="s">
        <v>185</v>
      </c>
      <c r="B72" s="5">
        <v>46242</v>
      </c>
      <c r="C72" t="s">
        <v>159</v>
      </c>
      <c r="D72" t="s">
        <v>90</v>
      </c>
      <c r="E72">
        <v>10000</v>
      </c>
      <c r="F72" t="s">
        <v>72</v>
      </c>
      <c r="G72" t="s">
        <v>73</v>
      </c>
      <c r="H72" t="s">
        <v>81</v>
      </c>
      <c r="I72" t="str">
        <f t="shared" si="5"/>
        <v>2026-08</v>
      </c>
      <c r="J72" t="str">
        <f ca="1">IFERROR(_xludf.XLOOKUP(C72,'Agent Master'!$A:$A,'Agent Master'!$B:$B,"Missing"),"Missing")</f>
        <v>Missing</v>
      </c>
      <c r="K72" t="str">
        <f ca="1">IFERROR(_xludf.XLOOKUP(C72,'Agent Master'!$A:$A,'Agent Master'!$C:$C,"Missing"),"Missing")</f>
        <v>Missing</v>
      </c>
      <c r="L72" t="str">
        <f t="shared" si="6"/>
        <v>August</v>
      </c>
      <c r="M72" t="str">
        <f>_xlfn.XLOOKUP('Transaction Data'!D72,ProductMap[Product Code],ProductMap[Product Name])</f>
        <v>UPI</v>
      </c>
      <c r="N72" t="str">
        <f t="shared" si="7"/>
        <v>2026-08</v>
      </c>
      <c r="O72" t="str" cm="1">
        <f t="array" ref="O72">IFERROR(_xlfn.XLOOKUP(C72,AgentMaster[[#All],[Agent ID]],AgentMaster[[#All],[Agent Name]]),"")</f>
        <v>Agent 117</v>
      </c>
      <c r="P72">
        <f t="shared" si="8"/>
        <v>12</v>
      </c>
    </row>
    <row r="73" spans="1:16" x14ac:dyDescent="0.3">
      <c r="A73" t="s">
        <v>186</v>
      </c>
      <c r="B73" s="5">
        <v>46273</v>
      </c>
      <c r="C73" t="s">
        <v>139</v>
      </c>
      <c r="D73" t="s">
        <v>87</v>
      </c>
      <c r="E73">
        <v>15000</v>
      </c>
      <c r="F73" t="s">
        <v>72</v>
      </c>
      <c r="G73" t="s">
        <v>84</v>
      </c>
      <c r="H73" t="s">
        <v>81</v>
      </c>
      <c r="I73" t="str">
        <f t="shared" si="5"/>
        <v>2026-09</v>
      </c>
      <c r="J73" t="str">
        <f ca="1">IFERROR(_xludf.XLOOKUP(C73,'Agent Master'!$A:$A,'Agent Master'!$B:$B,"Missing"),"Missing")</f>
        <v>Missing</v>
      </c>
      <c r="K73" t="str">
        <f ca="1">IFERROR(_xludf.XLOOKUP(C73,'Agent Master'!$A:$A,'Agent Master'!$C:$C,"Missing"),"Missing")</f>
        <v>Missing</v>
      </c>
      <c r="L73" t="str">
        <f t="shared" si="6"/>
        <v>September</v>
      </c>
      <c r="M73" t="str">
        <f>_xlfn.XLOOKUP('Transaction Data'!D73,ProductMap[Product Code],ProductMap[Product Name])</f>
        <v>APAY</v>
      </c>
      <c r="N73" t="str">
        <f t="shared" si="7"/>
        <v>2026-09</v>
      </c>
      <c r="O73" t="str" cm="1">
        <f t="array" ref="O73">IFERROR(_xlfn.XLOOKUP(C73,AgentMaster[[#All],[Agent ID]],AgentMaster[[#All],[Agent Name]]),"")</f>
        <v>Agent 128</v>
      </c>
      <c r="P73">
        <f t="shared" si="8"/>
        <v>16</v>
      </c>
    </row>
    <row r="74" spans="1:16" x14ac:dyDescent="0.3">
      <c r="A74" t="s">
        <v>187</v>
      </c>
      <c r="B74" s="5">
        <v>46259</v>
      </c>
      <c r="C74" t="s">
        <v>125</v>
      </c>
      <c r="D74" t="s">
        <v>90</v>
      </c>
      <c r="E74">
        <v>1500</v>
      </c>
      <c r="F74" t="s">
        <v>72</v>
      </c>
      <c r="G74" t="s">
        <v>73</v>
      </c>
      <c r="H74" t="s">
        <v>78</v>
      </c>
      <c r="I74" t="str">
        <f t="shared" si="5"/>
        <v>2026-08</v>
      </c>
      <c r="J74" t="str">
        <f ca="1">IFERROR(_xludf.XLOOKUP(C74,'Agent Master'!$A:$A,'Agent Master'!$B:$B,"Missing"),"Missing")</f>
        <v>Missing</v>
      </c>
      <c r="K74" t="str">
        <f ca="1">IFERROR(_xludf.XLOOKUP(C74,'Agent Master'!$A:$A,'Agent Master'!$C:$C,"Missing"),"Missing")</f>
        <v>Missing</v>
      </c>
      <c r="L74" t="str">
        <f t="shared" si="6"/>
        <v>August</v>
      </c>
      <c r="M74" t="str">
        <f>_xlfn.XLOOKUP('Transaction Data'!D74,ProductMap[Product Code],ProductMap[Product Name])</f>
        <v>UPI</v>
      </c>
      <c r="N74" t="str">
        <f t="shared" si="7"/>
        <v>2026-08</v>
      </c>
      <c r="O74" t="str" cm="1">
        <f t="array" ref="O74">IFERROR(_xlfn.XLOOKUP(C74,AgentMaster[[#All],[Agent ID]],AgentMaster[[#All],[Agent Name]]),"")</f>
        <v>Agent 137</v>
      </c>
      <c r="P74">
        <f t="shared" si="8"/>
        <v>11</v>
      </c>
    </row>
    <row r="75" spans="1:16" x14ac:dyDescent="0.3">
      <c r="A75" t="s">
        <v>188</v>
      </c>
      <c r="B75" s="5">
        <v>46235</v>
      </c>
      <c r="C75" t="s">
        <v>189</v>
      </c>
      <c r="D75" t="s">
        <v>95</v>
      </c>
      <c r="E75">
        <v>12500</v>
      </c>
      <c r="F75" t="s">
        <v>72</v>
      </c>
      <c r="G75" t="s">
        <v>84</v>
      </c>
      <c r="H75" t="s">
        <v>78</v>
      </c>
      <c r="I75" t="str">
        <f t="shared" si="5"/>
        <v>2026-08</v>
      </c>
      <c r="J75" t="str">
        <f ca="1">IFERROR(_xludf.XLOOKUP(C75,'Agent Master'!$A:$A,'Agent Master'!$B:$B,"Missing"),"Missing")</f>
        <v>Missing</v>
      </c>
      <c r="K75" t="str">
        <f ca="1">IFERROR(_xludf.XLOOKUP(C75,'Agent Master'!$A:$A,'Agent Master'!$C:$C,"Missing"),"Missing")</f>
        <v>Missing</v>
      </c>
      <c r="L75" t="str">
        <f t="shared" si="6"/>
        <v>August</v>
      </c>
      <c r="M75" t="str">
        <f>_xlfn.XLOOKUP('Transaction Data'!D75,ProductMap[Product Code],ProductMap[Product Name])</f>
        <v>BBPS</v>
      </c>
      <c r="N75" t="str">
        <f t="shared" si="7"/>
        <v>2026-08</v>
      </c>
      <c r="O75" t="str" cm="1">
        <f t="array" ref="O75">IFERROR(_xlfn.XLOOKUP(C75,AgentMaster[[#All],[Agent ID]],AgentMaster[[#All],[Agent Name]]),"")</f>
        <v>Agent 134</v>
      </c>
      <c r="P75">
        <f t="shared" si="8"/>
        <v>6</v>
      </c>
    </row>
    <row r="76" spans="1:16" x14ac:dyDescent="0.3">
      <c r="A76" t="s">
        <v>190</v>
      </c>
      <c r="B76" s="5">
        <v>46239</v>
      </c>
      <c r="C76" t="s">
        <v>191</v>
      </c>
      <c r="D76" t="s">
        <v>95</v>
      </c>
      <c r="E76">
        <v>2000</v>
      </c>
      <c r="F76" t="s">
        <v>72</v>
      </c>
      <c r="G76" t="s">
        <v>73</v>
      </c>
      <c r="H76" t="s">
        <v>96</v>
      </c>
      <c r="I76" t="str">
        <f t="shared" si="5"/>
        <v>2026-08</v>
      </c>
      <c r="J76" t="str">
        <f ca="1">IFERROR(_xludf.XLOOKUP(C76,'Agent Master'!$A:$A,'Agent Master'!$B:$B,"Missing"),"Missing")</f>
        <v>Missing</v>
      </c>
      <c r="K76" t="str">
        <f ca="1">IFERROR(_xludf.XLOOKUP(C76,'Agent Master'!$A:$A,'Agent Master'!$C:$C,"Missing"),"Missing")</f>
        <v>Missing</v>
      </c>
      <c r="L76" t="str">
        <f t="shared" si="6"/>
        <v>August</v>
      </c>
      <c r="M76" t="str">
        <f>_xlfn.XLOOKUP('Transaction Data'!D76,ProductMap[Product Code],ProductMap[Product Name])</f>
        <v>BBPS</v>
      </c>
      <c r="N76" t="str">
        <f t="shared" si="7"/>
        <v>2026-08</v>
      </c>
      <c r="O76" t="str" cm="1">
        <f t="array" ref="O76">IFERROR(_xlfn.XLOOKUP(C76,AgentMaster[[#All],[Agent ID]],AgentMaster[[#All],[Agent Name]]),"")</f>
        <v>Agent 122</v>
      </c>
      <c r="P76">
        <f t="shared" si="8"/>
        <v>7</v>
      </c>
    </row>
    <row r="77" spans="1:16" x14ac:dyDescent="0.3">
      <c r="A77" t="s">
        <v>192</v>
      </c>
      <c r="B77" s="5">
        <v>46267</v>
      </c>
      <c r="C77" t="s">
        <v>193</v>
      </c>
      <c r="D77" t="s">
        <v>77</v>
      </c>
      <c r="E77">
        <v>2500</v>
      </c>
      <c r="F77" t="s">
        <v>72</v>
      </c>
      <c r="G77" t="s">
        <v>84</v>
      </c>
      <c r="H77" t="s">
        <v>96</v>
      </c>
      <c r="I77" t="str">
        <f t="shared" si="5"/>
        <v>2026-09</v>
      </c>
      <c r="J77" t="str">
        <f ca="1">IFERROR(_xludf.XLOOKUP(C77,'Agent Master'!$A:$A,'Agent Master'!$B:$B,"Missing"),"Missing")</f>
        <v>Missing</v>
      </c>
      <c r="K77" t="str">
        <f ca="1">IFERROR(_xludf.XLOOKUP(C77,'Agent Master'!$A:$A,'Agent Master'!$C:$C,"Missing"),"Missing")</f>
        <v>Missing</v>
      </c>
      <c r="L77" t="str">
        <f t="shared" si="6"/>
        <v>September</v>
      </c>
      <c r="M77" t="str">
        <f>_xlfn.XLOOKUP('Transaction Data'!D77,ProductMap[Product Code],ProductMap[Product Name])</f>
        <v>MATM</v>
      </c>
      <c r="N77" t="str">
        <f t="shared" si="7"/>
        <v>2026-09</v>
      </c>
      <c r="O77" t="str" cm="1">
        <f t="array" ref="O77">IFERROR(_xlfn.XLOOKUP(C77,AgentMaster[[#All],[Agent ID]],AgentMaster[[#All],[Agent Name]]),"")</f>
        <v>Agent 120</v>
      </c>
      <c r="P77">
        <f t="shared" si="8"/>
        <v>8</v>
      </c>
    </row>
    <row r="78" spans="1:16" x14ac:dyDescent="0.3">
      <c r="A78" t="s">
        <v>194</v>
      </c>
      <c r="B78" s="5">
        <v>46270</v>
      </c>
      <c r="C78" t="s">
        <v>161</v>
      </c>
      <c r="D78" t="s">
        <v>90</v>
      </c>
      <c r="E78">
        <v>2500</v>
      </c>
      <c r="F78" t="s">
        <v>72</v>
      </c>
      <c r="G78" t="s">
        <v>73</v>
      </c>
      <c r="H78" t="s">
        <v>74</v>
      </c>
      <c r="I78" t="str">
        <f t="shared" si="5"/>
        <v>2026-09</v>
      </c>
      <c r="J78" t="str">
        <f ca="1">IFERROR(_xludf.XLOOKUP(C78,'Agent Master'!$A:$A,'Agent Master'!$B:$B,"Missing"),"Missing")</f>
        <v>Missing</v>
      </c>
      <c r="K78" t="str">
        <f ca="1">IFERROR(_xludf.XLOOKUP(C78,'Agent Master'!$A:$A,'Agent Master'!$C:$C,"Missing"),"Missing")</f>
        <v>Missing</v>
      </c>
      <c r="L78" t="str">
        <f t="shared" si="6"/>
        <v>September</v>
      </c>
      <c r="M78" t="str">
        <f>_xlfn.XLOOKUP('Transaction Data'!D78,ProductMap[Product Code],ProductMap[Product Name])</f>
        <v>UPI</v>
      </c>
      <c r="N78" t="str">
        <f t="shared" si="7"/>
        <v>2026-09</v>
      </c>
      <c r="O78" t="str" cm="1">
        <f t="array" ref="O78">IFERROR(_xlfn.XLOOKUP(C78,AgentMaster[[#All],[Agent ID]],AgentMaster[[#All],[Agent Name]]),"")</f>
        <v>Agent 109</v>
      </c>
      <c r="P78">
        <f t="shared" si="8"/>
        <v>16</v>
      </c>
    </row>
    <row r="79" spans="1:16" x14ac:dyDescent="0.3">
      <c r="A79" t="s">
        <v>195</v>
      </c>
      <c r="B79" s="5">
        <v>46274</v>
      </c>
      <c r="C79" t="s">
        <v>125</v>
      </c>
      <c r="D79" t="s">
        <v>87</v>
      </c>
      <c r="E79">
        <v>2500</v>
      </c>
      <c r="F79" t="s">
        <v>72</v>
      </c>
      <c r="G79" t="s">
        <v>73</v>
      </c>
      <c r="H79" t="s">
        <v>96</v>
      </c>
      <c r="I79" t="str">
        <f t="shared" si="5"/>
        <v>2026-09</v>
      </c>
      <c r="J79" t="str">
        <f ca="1">IFERROR(_xludf.XLOOKUP(C79,'Agent Master'!$A:$A,'Agent Master'!$B:$B,"Missing"),"Missing")</f>
        <v>Missing</v>
      </c>
      <c r="K79" t="str">
        <f ca="1">IFERROR(_xludf.XLOOKUP(C79,'Agent Master'!$A:$A,'Agent Master'!$C:$C,"Missing"),"Missing")</f>
        <v>Missing</v>
      </c>
      <c r="L79" t="str">
        <f t="shared" si="6"/>
        <v>September</v>
      </c>
      <c r="M79" t="str">
        <f>_xlfn.XLOOKUP('Transaction Data'!D79,ProductMap[Product Code],ProductMap[Product Name])</f>
        <v>APAY</v>
      </c>
      <c r="N79" t="str">
        <f t="shared" si="7"/>
        <v>2026-09</v>
      </c>
      <c r="O79" t="str" cm="1">
        <f t="array" ref="O79">IFERROR(_xlfn.XLOOKUP(C79,AgentMaster[[#All],[Agent ID]],AgentMaster[[#All],[Agent Name]]),"")</f>
        <v>Agent 137</v>
      </c>
      <c r="P79">
        <f t="shared" si="8"/>
        <v>11</v>
      </c>
    </row>
    <row r="80" spans="1:16" x14ac:dyDescent="0.3">
      <c r="A80" t="s">
        <v>196</v>
      </c>
      <c r="B80" s="5">
        <v>46253</v>
      </c>
      <c r="C80" t="s">
        <v>150</v>
      </c>
      <c r="D80" t="s">
        <v>110</v>
      </c>
      <c r="E80">
        <v>20000</v>
      </c>
      <c r="F80" t="s">
        <v>92</v>
      </c>
      <c r="G80" t="s">
        <v>73</v>
      </c>
      <c r="H80" t="s">
        <v>96</v>
      </c>
      <c r="I80" t="str">
        <f t="shared" si="5"/>
        <v>2026-08</v>
      </c>
      <c r="J80" t="str">
        <f ca="1">IFERROR(_xludf.XLOOKUP(C80,'Agent Master'!$A:$A,'Agent Master'!$B:$B,"Missing"),"Missing")</f>
        <v>Missing</v>
      </c>
      <c r="K80" t="str">
        <f ca="1">IFERROR(_xludf.XLOOKUP(C80,'Agent Master'!$A:$A,'Agent Master'!$C:$C,"Missing"),"Missing")</f>
        <v>Missing</v>
      </c>
      <c r="L80" t="str">
        <f t="shared" si="6"/>
        <v>August</v>
      </c>
      <c r="M80" t="str">
        <f>_xlfn.XLOOKUP('Transaction Data'!D80,ProductMap[Product Code],ProductMap[Product Name])</f>
        <v>DMT</v>
      </c>
      <c r="N80" t="str">
        <f t="shared" si="7"/>
        <v>2026-08</v>
      </c>
      <c r="O80" t="str" cm="1">
        <f t="array" ref="O80">IFERROR(_xlfn.XLOOKUP(C80,AgentMaster[[#All],[Agent ID]],AgentMaster[[#All],[Agent Name]]),"")</f>
        <v>Agent 114</v>
      </c>
      <c r="P80">
        <f t="shared" si="8"/>
        <v>8</v>
      </c>
    </row>
    <row r="81" spans="1:16" x14ac:dyDescent="0.3">
      <c r="A81" t="s">
        <v>197</v>
      </c>
      <c r="B81" s="5">
        <v>46264</v>
      </c>
      <c r="C81" t="s">
        <v>172</v>
      </c>
      <c r="D81" t="s">
        <v>110</v>
      </c>
      <c r="E81">
        <v>12500</v>
      </c>
      <c r="F81" t="s">
        <v>72</v>
      </c>
      <c r="G81" t="s">
        <v>73</v>
      </c>
      <c r="H81" t="s">
        <v>78</v>
      </c>
      <c r="I81" t="str">
        <f t="shared" si="5"/>
        <v>2026-08</v>
      </c>
      <c r="J81" t="str">
        <f ca="1">IFERROR(_xludf.XLOOKUP(C81,'Agent Master'!$A:$A,'Agent Master'!$B:$B,"Missing"),"Missing")</f>
        <v>Missing</v>
      </c>
      <c r="K81" t="str">
        <f ca="1">IFERROR(_xludf.XLOOKUP(C81,'Agent Master'!$A:$A,'Agent Master'!$C:$C,"Missing"),"Missing")</f>
        <v>Missing</v>
      </c>
      <c r="L81" t="str">
        <f t="shared" si="6"/>
        <v>August</v>
      </c>
      <c r="M81" t="str">
        <f>_xlfn.XLOOKUP('Transaction Data'!D81,ProductMap[Product Code],ProductMap[Product Name])</f>
        <v>DMT</v>
      </c>
      <c r="N81" t="str">
        <f t="shared" si="7"/>
        <v>2026-08</v>
      </c>
      <c r="O81" t="str" cm="1">
        <f t="array" ref="O81">IFERROR(_xlfn.XLOOKUP(C81,AgentMaster[[#All],[Agent ID]],AgentMaster[[#All],[Agent Name]]),"")</f>
        <v>Agent 129</v>
      </c>
      <c r="P81">
        <f t="shared" si="8"/>
        <v>18</v>
      </c>
    </row>
    <row r="82" spans="1:16" x14ac:dyDescent="0.3">
      <c r="A82" t="s">
        <v>198</v>
      </c>
      <c r="B82" s="5">
        <v>46285</v>
      </c>
      <c r="C82" t="s">
        <v>199</v>
      </c>
      <c r="D82" t="s">
        <v>77</v>
      </c>
      <c r="E82">
        <v>500</v>
      </c>
      <c r="F82" t="s">
        <v>72</v>
      </c>
      <c r="G82" t="s">
        <v>73</v>
      </c>
      <c r="H82" t="s">
        <v>96</v>
      </c>
      <c r="I82" t="str">
        <f t="shared" si="5"/>
        <v>2026-09</v>
      </c>
      <c r="J82" t="str">
        <f ca="1">IFERROR(_xludf.XLOOKUP(C82,'Agent Master'!$A:$A,'Agent Master'!$B:$B,"Missing"),"Missing")</f>
        <v>Missing</v>
      </c>
      <c r="K82" t="str">
        <f ca="1">IFERROR(_xludf.XLOOKUP(C82,'Agent Master'!$A:$A,'Agent Master'!$C:$C,"Missing"),"Missing")</f>
        <v>Missing</v>
      </c>
      <c r="L82" t="str">
        <f t="shared" si="6"/>
        <v>September</v>
      </c>
      <c r="M82" t="str">
        <f>_xlfn.XLOOKUP('Transaction Data'!D82,ProductMap[Product Code],ProductMap[Product Name])</f>
        <v>MATM</v>
      </c>
      <c r="N82" t="str">
        <f t="shared" si="7"/>
        <v>2026-09</v>
      </c>
      <c r="O82" t="str" cm="1">
        <f t="array" ref="O82">IFERROR(_xlfn.XLOOKUP(C82,AgentMaster[[#All],[Agent ID]],AgentMaster[[#All],[Agent Name]]),"")</f>
        <v>Agent 111</v>
      </c>
      <c r="P82">
        <f t="shared" si="8"/>
        <v>8</v>
      </c>
    </row>
    <row r="83" spans="1:16" x14ac:dyDescent="0.3">
      <c r="A83" t="s">
        <v>200</v>
      </c>
      <c r="B83" s="5">
        <v>46240</v>
      </c>
      <c r="C83" t="s">
        <v>104</v>
      </c>
      <c r="D83" t="s">
        <v>77</v>
      </c>
      <c r="E83">
        <v>1500</v>
      </c>
      <c r="F83" t="s">
        <v>72</v>
      </c>
      <c r="G83" t="s">
        <v>73</v>
      </c>
      <c r="H83" t="s">
        <v>74</v>
      </c>
      <c r="I83" t="str">
        <f t="shared" si="5"/>
        <v>2026-08</v>
      </c>
      <c r="J83" t="str">
        <f ca="1">IFERROR(_xludf.XLOOKUP(C83,'Agent Master'!$A:$A,'Agent Master'!$B:$B,"Missing"),"Missing")</f>
        <v>Missing</v>
      </c>
      <c r="K83" t="str">
        <f ca="1">IFERROR(_xludf.XLOOKUP(C83,'Agent Master'!$A:$A,'Agent Master'!$C:$C,"Missing"),"Missing")</f>
        <v>Missing</v>
      </c>
      <c r="L83" t="str">
        <f t="shared" si="6"/>
        <v>August</v>
      </c>
      <c r="M83" t="str">
        <f>_xlfn.XLOOKUP('Transaction Data'!D83,ProductMap[Product Code],ProductMap[Product Name])</f>
        <v>MATM</v>
      </c>
      <c r="N83" t="str">
        <f t="shared" si="7"/>
        <v>2026-08</v>
      </c>
      <c r="O83" t="str" cm="1">
        <f t="array" ref="O83">IFERROR(_xlfn.XLOOKUP(C83,AgentMaster[[#All],[Agent ID]],AgentMaster[[#All],[Agent Name]]),"")</f>
        <v>Agent 116</v>
      </c>
      <c r="P83">
        <f t="shared" si="8"/>
        <v>15</v>
      </c>
    </row>
    <row r="84" spans="1:16" x14ac:dyDescent="0.3">
      <c r="A84" t="s">
        <v>201</v>
      </c>
      <c r="B84" s="5">
        <v>46236</v>
      </c>
      <c r="C84" t="s">
        <v>134</v>
      </c>
      <c r="D84" t="s">
        <v>90</v>
      </c>
      <c r="E84">
        <v>5000</v>
      </c>
      <c r="F84" t="s">
        <v>92</v>
      </c>
      <c r="G84" t="s">
        <v>73</v>
      </c>
      <c r="H84" t="s">
        <v>78</v>
      </c>
      <c r="I84" t="str">
        <f t="shared" si="5"/>
        <v>2026-08</v>
      </c>
      <c r="J84" t="str">
        <f ca="1">IFERROR(_xludf.XLOOKUP(C84,'Agent Master'!$A:$A,'Agent Master'!$B:$B,"Missing"),"Missing")</f>
        <v>Missing</v>
      </c>
      <c r="K84" t="str">
        <f ca="1">IFERROR(_xludf.XLOOKUP(C84,'Agent Master'!$A:$A,'Agent Master'!$C:$C,"Missing"),"Missing")</f>
        <v>Missing</v>
      </c>
      <c r="L84" t="str">
        <f t="shared" si="6"/>
        <v>August</v>
      </c>
      <c r="M84" t="str">
        <f>_xlfn.XLOOKUP('Transaction Data'!D84,ProductMap[Product Code],ProductMap[Product Name])</f>
        <v>UPI</v>
      </c>
      <c r="N84" t="str">
        <f t="shared" si="7"/>
        <v>2026-08</v>
      </c>
      <c r="O84" t="str" cm="1">
        <f t="array" ref="O84">IFERROR(_xlfn.XLOOKUP(C84,AgentMaster[[#All],[Agent ID]],AgentMaster[[#All],[Agent Name]]),"")</f>
        <v>Agent 103</v>
      </c>
      <c r="P84">
        <f t="shared" si="8"/>
        <v>11</v>
      </c>
    </row>
    <row r="85" spans="1:16" x14ac:dyDescent="0.3">
      <c r="A85" t="s">
        <v>202</v>
      </c>
      <c r="B85" s="5">
        <v>46261</v>
      </c>
      <c r="C85" t="s">
        <v>98</v>
      </c>
      <c r="D85" t="s">
        <v>95</v>
      </c>
      <c r="E85">
        <v>1000</v>
      </c>
      <c r="F85" t="s">
        <v>72</v>
      </c>
      <c r="G85" t="s">
        <v>84</v>
      </c>
      <c r="H85" t="s">
        <v>78</v>
      </c>
      <c r="I85" t="str">
        <f t="shared" si="5"/>
        <v>2026-08</v>
      </c>
      <c r="J85" t="str">
        <f ca="1">IFERROR(_xludf.XLOOKUP(C85,'Agent Master'!$A:$A,'Agent Master'!$B:$B,"Missing"),"Missing")</f>
        <v>Missing</v>
      </c>
      <c r="K85" t="str">
        <f ca="1">IFERROR(_xludf.XLOOKUP(C85,'Agent Master'!$A:$A,'Agent Master'!$C:$C,"Missing"),"Missing")</f>
        <v>Missing</v>
      </c>
      <c r="L85" t="str">
        <f t="shared" si="6"/>
        <v>August</v>
      </c>
      <c r="M85" t="str">
        <f>_xlfn.XLOOKUP('Transaction Data'!D85,ProductMap[Product Code],ProductMap[Product Name])</f>
        <v>BBPS</v>
      </c>
      <c r="N85" t="str">
        <f t="shared" si="7"/>
        <v>2026-08</v>
      </c>
      <c r="O85" t="str" cm="1">
        <f t="array" ref="O85">IFERROR(_xlfn.XLOOKUP(C85,AgentMaster[[#All],[Agent ID]],AgentMaster[[#All],[Agent Name]]),"")</f>
        <v/>
      </c>
      <c r="P85">
        <f t="shared" si="8"/>
        <v>25</v>
      </c>
    </row>
    <row r="86" spans="1:16" x14ac:dyDescent="0.3">
      <c r="A86" t="s">
        <v>203</v>
      </c>
      <c r="B86" s="5">
        <v>46250</v>
      </c>
      <c r="C86" t="s">
        <v>204</v>
      </c>
      <c r="D86" t="s">
        <v>77</v>
      </c>
      <c r="E86">
        <v>15000</v>
      </c>
      <c r="F86" t="s">
        <v>72</v>
      </c>
      <c r="G86" t="s">
        <v>73</v>
      </c>
      <c r="H86" t="s">
        <v>78</v>
      </c>
      <c r="I86" t="str">
        <f t="shared" si="5"/>
        <v>2026-08</v>
      </c>
      <c r="J86" t="str">
        <f ca="1">IFERROR(_xludf.XLOOKUP(C86,'Agent Master'!$A:$A,'Agent Master'!$B:$B,"Missing"),"Missing")</f>
        <v>Missing</v>
      </c>
      <c r="K86" t="str">
        <f ca="1">IFERROR(_xludf.XLOOKUP(C86,'Agent Master'!$A:$A,'Agent Master'!$C:$C,"Missing"),"Missing")</f>
        <v>Missing</v>
      </c>
      <c r="L86" t="str">
        <f t="shared" si="6"/>
        <v>August</v>
      </c>
      <c r="M86" t="str">
        <f>_xlfn.XLOOKUP('Transaction Data'!D86,ProductMap[Product Code],ProductMap[Product Name])</f>
        <v>MATM</v>
      </c>
      <c r="N86" t="str">
        <f t="shared" si="7"/>
        <v>2026-08</v>
      </c>
      <c r="O86" t="str" cm="1">
        <f t="array" ref="O86">IFERROR(_xlfn.XLOOKUP(C86,AgentMaster[[#All],[Agent ID]],AgentMaster[[#All],[Agent Name]]),"")</f>
        <v>Agent 110</v>
      </c>
      <c r="P86">
        <f t="shared" si="8"/>
        <v>17</v>
      </c>
    </row>
    <row r="87" spans="1:16" x14ac:dyDescent="0.3">
      <c r="A87" t="s">
        <v>205</v>
      </c>
      <c r="B87" s="5">
        <v>46249</v>
      </c>
      <c r="C87" t="s">
        <v>178</v>
      </c>
      <c r="D87" t="s">
        <v>77</v>
      </c>
      <c r="E87">
        <v>7500</v>
      </c>
      <c r="F87" t="s">
        <v>72</v>
      </c>
      <c r="G87" t="s">
        <v>73</v>
      </c>
      <c r="H87" t="s">
        <v>74</v>
      </c>
      <c r="I87" t="str">
        <f t="shared" si="5"/>
        <v>2026-08</v>
      </c>
      <c r="J87" t="str">
        <f ca="1">IFERROR(_xludf.XLOOKUP(C87,'Agent Master'!$A:$A,'Agent Master'!$B:$B,"Missing"),"Missing")</f>
        <v>Missing</v>
      </c>
      <c r="K87" t="str">
        <f ca="1">IFERROR(_xludf.XLOOKUP(C87,'Agent Master'!$A:$A,'Agent Master'!$C:$C,"Missing"),"Missing")</f>
        <v>Missing</v>
      </c>
      <c r="L87" t="str">
        <f t="shared" si="6"/>
        <v>August</v>
      </c>
      <c r="M87" t="str">
        <f>_xlfn.XLOOKUP('Transaction Data'!D87,ProductMap[Product Code],ProductMap[Product Name])</f>
        <v>MATM</v>
      </c>
      <c r="N87" t="str">
        <f t="shared" si="7"/>
        <v>2026-08</v>
      </c>
      <c r="O87" t="str" cm="1">
        <f t="array" ref="O87">IFERROR(_xlfn.XLOOKUP(C87,AgentMaster[[#All],[Agent ID]],AgentMaster[[#All],[Agent Name]]),"")</f>
        <v>Agent 112</v>
      </c>
      <c r="P87">
        <f t="shared" si="8"/>
        <v>7</v>
      </c>
    </row>
    <row r="88" spans="1:16" x14ac:dyDescent="0.3">
      <c r="A88" t="s">
        <v>206</v>
      </c>
      <c r="B88" s="5">
        <v>46293</v>
      </c>
      <c r="C88" t="s">
        <v>70</v>
      </c>
      <c r="D88" t="s">
        <v>110</v>
      </c>
      <c r="E88">
        <v>750</v>
      </c>
      <c r="F88" t="s">
        <v>72</v>
      </c>
      <c r="G88" t="s">
        <v>73</v>
      </c>
      <c r="H88" t="s">
        <v>96</v>
      </c>
      <c r="I88" t="str">
        <f t="shared" si="5"/>
        <v>2026-09</v>
      </c>
      <c r="J88" t="str">
        <f ca="1">IFERROR(_xludf.XLOOKUP(C88,'Agent Master'!$A:$A,'Agent Master'!$B:$B,"Missing"),"Missing")</f>
        <v>Missing</v>
      </c>
      <c r="K88" t="str">
        <f ca="1">IFERROR(_xludf.XLOOKUP(C88,'Agent Master'!$A:$A,'Agent Master'!$C:$C,"Missing"),"Missing")</f>
        <v>Missing</v>
      </c>
      <c r="L88" t="str">
        <f t="shared" si="6"/>
        <v>September</v>
      </c>
      <c r="M88" t="str">
        <f>_xlfn.XLOOKUP('Transaction Data'!D88,ProductMap[Product Code],ProductMap[Product Name])</f>
        <v>DMT</v>
      </c>
      <c r="N88" t="str">
        <f t="shared" si="7"/>
        <v>2026-09</v>
      </c>
      <c r="O88" t="str" cm="1">
        <f t="array" ref="O88">IFERROR(_xlfn.XLOOKUP(C88,AgentMaster[[#All],[Agent ID]],AgentMaster[[#All],[Agent Name]]),"")</f>
        <v>Agent 108</v>
      </c>
      <c r="P88">
        <f t="shared" si="8"/>
        <v>12</v>
      </c>
    </row>
    <row r="89" spans="1:16" x14ac:dyDescent="0.3">
      <c r="A89" t="s">
        <v>207</v>
      </c>
      <c r="B89" s="5">
        <v>46283</v>
      </c>
      <c r="C89" t="s">
        <v>172</v>
      </c>
      <c r="D89" t="s">
        <v>95</v>
      </c>
      <c r="E89">
        <v>15000</v>
      </c>
      <c r="F89" t="s">
        <v>72</v>
      </c>
      <c r="G89" t="s">
        <v>84</v>
      </c>
      <c r="H89" t="s">
        <v>78</v>
      </c>
      <c r="I89" t="str">
        <f t="shared" si="5"/>
        <v>2026-09</v>
      </c>
      <c r="J89" t="str">
        <f ca="1">IFERROR(_xludf.XLOOKUP(C89,'Agent Master'!$A:$A,'Agent Master'!$B:$B,"Missing"),"Missing")</f>
        <v>Missing</v>
      </c>
      <c r="K89" t="str">
        <f ca="1">IFERROR(_xludf.XLOOKUP(C89,'Agent Master'!$A:$A,'Agent Master'!$C:$C,"Missing"),"Missing")</f>
        <v>Missing</v>
      </c>
      <c r="L89" t="str">
        <f t="shared" si="6"/>
        <v>September</v>
      </c>
      <c r="M89" t="str">
        <f>_xlfn.XLOOKUP('Transaction Data'!D89,ProductMap[Product Code],ProductMap[Product Name])</f>
        <v>BBPS</v>
      </c>
      <c r="N89" t="str">
        <f t="shared" si="7"/>
        <v>2026-09</v>
      </c>
      <c r="O89" t="str" cm="1">
        <f t="array" ref="O89">IFERROR(_xlfn.XLOOKUP(C89,AgentMaster[[#All],[Agent ID]],AgentMaster[[#All],[Agent Name]]),"")</f>
        <v>Agent 129</v>
      </c>
      <c r="P89">
        <f t="shared" si="8"/>
        <v>18</v>
      </c>
    </row>
    <row r="90" spans="1:16" x14ac:dyDescent="0.3">
      <c r="A90" t="s">
        <v>208</v>
      </c>
      <c r="B90" s="5">
        <v>46292</v>
      </c>
      <c r="C90" t="s">
        <v>199</v>
      </c>
      <c r="D90" t="s">
        <v>77</v>
      </c>
      <c r="E90">
        <v>5000</v>
      </c>
      <c r="F90" t="s">
        <v>72</v>
      </c>
      <c r="G90" t="s">
        <v>84</v>
      </c>
      <c r="H90" t="s">
        <v>74</v>
      </c>
      <c r="I90" t="str">
        <f t="shared" si="5"/>
        <v>2026-09</v>
      </c>
      <c r="J90" t="str">
        <f ca="1">IFERROR(_xludf.XLOOKUP(C90,'Agent Master'!$A:$A,'Agent Master'!$B:$B,"Missing"),"Missing")</f>
        <v>Missing</v>
      </c>
      <c r="K90" t="str">
        <f ca="1">IFERROR(_xludf.XLOOKUP(C90,'Agent Master'!$A:$A,'Agent Master'!$C:$C,"Missing"),"Missing")</f>
        <v>Missing</v>
      </c>
      <c r="L90" t="str">
        <f t="shared" si="6"/>
        <v>September</v>
      </c>
      <c r="M90" t="str">
        <f>_xlfn.XLOOKUP('Transaction Data'!D90,ProductMap[Product Code],ProductMap[Product Name])</f>
        <v>MATM</v>
      </c>
      <c r="N90" t="str">
        <f t="shared" si="7"/>
        <v>2026-09</v>
      </c>
      <c r="O90" t="str" cm="1">
        <f t="array" ref="O90">IFERROR(_xlfn.XLOOKUP(C90,AgentMaster[[#All],[Agent ID]],AgentMaster[[#All],[Agent Name]]),"")</f>
        <v>Agent 111</v>
      </c>
      <c r="P90">
        <f t="shared" si="8"/>
        <v>8</v>
      </c>
    </row>
    <row r="91" spans="1:16" x14ac:dyDescent="0.3">
      <c r="A91" t="s">
        <v>209</v>
      </c>
      <c r="B91" s="5">
        <v>46288</v>
      </c>
      <c r="C91" t="s">
        <v>98</v>
      </c>
      <c r="D91" t="s">
        <v>87</v>
      </c>
      <c r="E91">
        <v>20000</v>
      </c>
      <c r="F91" t="s">
        <v>72</v>
      </c>
      <c r="G91" t="s">
        <v>84</v>
      </c>
      <c r="H91" t="s">
        <v>74</v>
      </c>
      <c r="I91" t="str">
        <f t="shared" si="5"/>
        <v>2026-09</v>
      </c>
      <c r="J91" t="str">
        <f ca="1">IFERROR(_xludf.XLOOKUP(C91,'Agent Master'!$A:$A,'Agent Master'!$B:$B,"Missing"),"Missing")</f>
        <v>Missing</v>
      </c>
      <c r="K91" t="str">
        <f ca="1">IFERROR(_xludf.XLOOKUP(C91,'Agent Master'!$A:$A,'Agent Master'!$C:$C,"Missing"),"Missing")</f>
        <v>Missing</v>
      </c>
      <c r="L91" t="str">
        <f t="shared" si="6"/>
        <v>September</v>
      </c>
      <c r="M91" t="str">
        <f>_xlfn.XLOOKUP('Transaction Data'!D91,ProductMap[Product Code],ProductMap[Product Name])</f>
        <v>APAY</v>
      </c>
      <c r="N91" t="str">
        <f t="shared" si="7"/>
        <v>2026-09</v>
      </c>
      <c r="O91" t="str" cm="1">
        <f t="array" ref="O91">IFERROR(_xlfn.XLOOKUP(C91,AgentMaster[[#All],[Agent ID]],AgentMaster[[#All],[Agent Name]]),"")</f>
        <v/>
      </c>
      <c r="P91">
        <f t="shared" si="8"/>
        <v>25</v>
      </c>
    </row>
    <row r="92" spans="1:16" x14ac:dyDescent="0.3">
      <c r="A92" t="s">
        <v>210</v>
      </c>
      <c r="B92" s="5">
        <v>46252</v>
      </c>
      <c r="C92" t="s">
        <v>172</v>
      </c>
      <c r="D92" t="s">
        <v>71</v>
      </c>
      <c r="E92">
        <v>15000</v>
      </c>
      <c r="F92" t="s">
        <v>72</v>
      </c>
      <c r="G92" t="s">
        <v>73</v>
      </c>
      <c r="H92" t="s">
        <v>96</v>
      </c>
      <c r="I92" t="str">
        <f t="shared" si="5"/>
        <v>2026-08</v>
      </c>
      <c r="J92" t="str">
        <f ca="1">IFERROR(_xludf.XLOOKUP(C92,'Agent Master'!$A:$A,'Agent Master'!$B:$B,"Missing"),"Missing")</f>
        <v>Missing</v>
      </c>
      <c r="K92" t="str">
        <f ca="1">IFERROR(_xludf.XLOOKUP(C92,'Agent Master'!$A:$A,'Agent Master'!$C:$C,"Missing"),"Missing")</f>
        <v>Missing</v>
      </c>
      <c r="L92" t="str">
        <f t="shared" si="6"/>
        <v>August</v>
      </c>
      <c r="M92" t="str">
        <f>_xlfn.XLOOKUP('Transaction Data'!D92,ProductMap[Product Code],ProductMap[Product Name])</f>
        <v>AEPS</v>
      </c>
      <c r="N92" t="str">
        <f t="shared" si="7"/>
        <v>2026-08</v>
      </c>
      <c r="O92" t="str" cm="1">
        <f t="array" ref="O92">IFERROR(_xlfn.XLOOKUP(C92,AgentMaster[[#All],[Agent ID]],AgentMaster[[#All],[Agent Name]]),"")</f>
        <v>Agent 129</v>
      </c>
      <c r="P92">
        <f t="shared" si="8"/>
        <v>18</v>
      </c>
    </row>
    <row r="93" spans="1:16" x14ac:dyDescent="0.3">
      <c r="A93" t="s">
        <v>211</v>
      </c>
      <c r="B93" s="5">
        <v>46256</v>
      </c>
      <c r="C93" t="s">
        <v>106</v>
      </c>
      <c r="D93" t="s">
        <v>95</v>
      </c>
      <c r="E93">
        <v>500</v>
      </c>
      <c r="F93" t="s">
        <v>72</v>
      </c>
      <c r="G93" t="s">
        <v>73</v>
      </c>
      <c r="H93" t="s">
        <v>74</v>
      </c>
      <c r="I93" t="str">
        <f t="shared" si="5"/>
        <v>2026-08</v>
      </c>
      <c r="J93" t="str">
        <f ca="1">IFERROR(_xludf.XLOOKUP(C93,'Agent Master'!$A:$A,'Agent Master'!$B:$B,"Missing"),"Missing")</f>
        <v>Missing</v>
      </c>
      <c r="K93" t="str">
        <f ca="1">IFERROR(_xludf.XLOOKUP(C93,'Agent Master'!$A:$A,'Agent Master'!$C:$C,"Missing"),"Missing")</f>
        <v>Missing</v>
      </c>
      <c r="L93" t="str">
        <f t="shared" si="6"/>
        <v>August</v>
      </c>
      <c r="M93" t="str">
        <f>_xlfn.XLOOKUP('Transaction Data'!D93,ProductMap[Product Code],ProductMap[Product Name])</f>
        <v>BBPS</v>
      </c>
      <c r="N93" t="str">
        <f t="shared" si="7"/>
        <v>2026-08</v>
      </c>
      <c r="O93" t="str" cm="1">
        <f t="array" ref="O93">IFERROR(_xlfn.XLOOKUP(C93,AgentMaster[[#All],[Agent ID]],AgentMaster[[#All],[Agent Name]]),"")</f>
        <v>Agent 121</v>
      </c>
      <c r="P93">
        <f t="shared" si="8"/>
        <v>7</v>
      </c>
    </row>
    <row r="94" spans="1:16" x14ac:dyDescent="0.3">
      <c r="A94" t="s">
        <v>212</v>
      </c>
      <c r="B94" s="5">
        <v>46259</v>
      </c>
      <c r="C94" t="s">
        <v>204</v>
      </c>
      <c r="D94" t="s">
        <v>77</v>
      </c>
      <c r="E94">
        <v>1000</v>
      </c>
      <c r="F94" t="s">
        <v>72</v>
      </c>
      <c r="G94" t="s">
        <v>84</v>
      </c>
      <c r="H94" t="s">
        <v>78</v>
      </c>
      <c r="I94" t="str">
        <f t="shared" si="5"/>
        <v>2026-08</v>
      </c>
      <c r="J94" t="str">
        <f ca="1">IFERROR(_xludf.XLOOKUP(C94,'Agent Master'!$A:$A,'Agent Master'!$B:$B,"Missing"),"Missing")</f>
        <v>Missing</v>
      </c>
      <c r="K94" t="str">
        <f ca="1">IFERROR(_xludf.XLOOKUP(C94,'Agent Master'!$A:$A,'Agent Master'!$C:$C,"Missing"),"Missing")</f>
        <v>Missing</v>
      </c>
      <c r="L94" t="str">
        <f t="shared" si="6"/>
        <v>August</v>
      </c>
      <c r="M94" t="str">
        <f>_xlfn.XLOOKUP('Transaction Data'!D94,ProductMap[Product Code],ProductMap[Product Name])</f>
        <v>MATM</v>
      </c>
      <c r="N94" t="str">
        <f t="shared" si="7"/>
        <v>2026-08</v>
      </c>
      <c r="O94" t="str" cm="1">
        <f t="array" ref="O94">IFERROR(_xlfn.XLOOKUP(C94,AgentMaster[[#All],[Agent ID]],AgentMaster[[#All],[Agent Name]]),"")</f>
        <v>Agent 110</v>
      </c>
      <c r="P94">
        <f t="shared" si="8"/>
        <v>17</v>
      </c>
    </row>
    <row r="95" spans="1:16" x14ac:dyDescent="0.3">
      <c r="A95" t="s">
        <v>213</v>
      </c>
      <c r="B95" s="5">
        <v>46256</v>
      </c>
      <c r="C95" t="s">
        <v>129</v>
      </c>
      <c r="D95" t="s">
        <v>110</v>
      </c>
      <c r="E95">
        <v>2500</v>
      </c>
      <c r="F95" t="s">
        <v>72</v>
      </c>
      <c r="G95" t="s">
        <v>73</v>
      </c>
      <c r="H95" t="s">
        <v>78</v>
      </c>
      <c r="I95" t="str">
        <f t="shared" si="5"/>
        <v>2026-08</v>
      </c>
      <c r="J95" t="str">
        <f ca="1">IFERROR(_xludf.XLOOKUP(C95,'Agent Master'!$A:$A,'Agent Master'!$B:$B,"Missing"),"Missing")</f>
        <v>Missing</v>
      </c>
      <c r="K95" t="str">
        <f ca="1">IFERROR(_xludf.XLOOKUP(C95,'Agent Master'!$A:$A,'Agent Master'!$C:$C,"Missing"),"Missing")</f>
        <v>Missing</v>
      </c>
      <c r="L95" t="str">
        <f t="shared" si="6"/>
        <v>August</v>
      </c>
      <c r="M95" t="str">
        <f>_xlfn.XLOOKUP('Transaction Data'!D95,ProductMap[Product Code],ProductMap[Product Name])</f>
        <v>DMT</v>
      </c>
      <c r="N95" t="str">
        <f t="shared" si="7"/>
        <v>2026-08</v>
      </c>
      <c r="O95" t="str" cm="1">
        <f t="array" ref="O95">IFERROR(_xlfn.XLOOKUP(C95,AgentMaster[[#All],[Agent ID]],AgentMaster[[#All],[Agent Name]]),"")</f>
        <v>Agent 135</v>
      </c>
      <c r="P95">
        <f t="shared" si="8"/>
        <v>19</v>
      </c>
    </row>
    <row r="96" spans="1:16" x14ac:dyDescent="0.3">
      <c r="A96" t="s">
        <v>214</v>
      </c>
      <c r="B96" s="5">
        <v>46259</v>
      </c>
      <c r="C96" t="s">
        <v>86</v>
      </c>
      <c r="D96" t="s">
        <v>77</v>
      </c>
      <c r="E96">
        <v>250</v>
      </c>
      <c r="F96" t="s">
        <v>92</v>
      </c>
      <c r="G96" t="s">
        <v>84</v>
      </c>
      <c r="H96" t="s">
        <v>78</v>
      </c>
      <c r="I96" t="str">
        <f t="shared" si="5"/>
        <v>2026-08</v>
      </c>
      <c r="J96" t="str">
        <f ca="1">IFERROR(_xludf.XLOOKUP(C96,'Agent Master'!$A:$A,'Agent Master'!$B:$B,"Missing"),"Missing")</f>
        <v>Missing</v>
      </c>
      <c r="K96" t="str">
        <f ca="1">IFERROR(_xludf.XLOOKUP(C96,'Agent Master'!$A:$A,'Agent Master'!$C:$C,"Missing"),"Missing")</f>
        <v>Missing</v>
      </c>
      <c r="L96" t="str">
        <f t="shared" si="6"/>
        <v>August</v>
      </c>
      <c r="M96" t="str">
        <f>_xlfn.XLOOKUP('Transaction Data'!D96,ProductMap[Product Code],ProductMap[Product Name])</f>
        <v>MATM</v>
      </c>
      <c r="N96" t="str">
        <f t="shared" si="7"/>
        <v>2026-08</v>
      </c>
      <c r="O96" t="str" cm="1">
        <f t="array" ref="O96">IFERROR(_xlfn.XLOOKUP(C96,AgentMaster[[#All],[Agent ID]],AgentMaster[[#All],[Agent Name]]),"")</f>
        <v>Agent 138</v>
      </c>
      <c r="P96">
        <f t="shared" si="8"/>
        <v>4</v>
      </c>
    </row>
    <row r="97" spans="1:16" x14ac:dyDescent="0.3">
      <c r="A97" t="s">
        <v>215</v>
      </c>
      <c r="B97" s="5">
        <v>46235</v>
      </c>
      <c r="C97" t="s">
        <v>216</v>
      </c>
      <c r="D97" t="s">
        <v>87</v>
      </c>
      <c r="E97">
        <v>20000</v>
      </c>
      <c r="F97" t="s">
        <v>72</v>
      </c>
      <c r="G97" t="s">
        <v>84</v>
      </c>
      <c r="H97" t="s">
        <v>74</v>
      </c>
      <c r="I97" t="str">
        <f t="shared" si="5"/>
        <v>2026-08</v>
      </c>
      <c r="J97" t="str">
        <f ca="1">IFERROR(_xludf.XLOOKUP(C97,'Agent Master'!$A:$A,'Agent Master'!$B:$B,"Missing"),"Missing")</f>
        <v>Missing</v>
      </c>
      <c r="K97" t="str">
        <f ca="1">IFERROR(_xludf.XLOOKUP(C97,'Agent Master'!$A:$A,'Agent Master'!$C:$C,"Missing"),"Missing")</f>
        <v>Missing</v>
      </c>
      <c r="L97" t="str">
        <f t="shared" si="6"/>
        <v>August</v>
      </c>
      <c r="M97" t="str">
        <f>_xlfn.XLOOKUP('Transaction Data'!D97,ProductMap[Product Code],ProductMap[Product Name])</f>
        <v>APAY</v>
      </c>
      <c r="N97" t="str">
        <f t="shared" si="7"/>
        <v>2026-08</v>
      </c>
      <c r="O97" t="str" cm="1">
        <f t="array" ref="O97">IFERROR(_xlfn.XLOOKUP(C97,AgentMaster[[#All],[Agent ID]],AgentMaster[[#All],[Agent Name]]),"")</f>
        <v>Agent 123</v>
      </c>
      <c r="P97">
        <f t="shared" si="8"/>
        <v>6</v>
      </c>
    </row>
    <row r="98" spans="1:16" x14ac:dyDescent="0.3">
      <c r="A98" t="s">
        <v>217</v>
      </c>
      <c r="B98" s="5">
        <v>46266</v>
      </c>
      <c r="C98" t="s">
        <v>100</v>
      </c>
      <c r="D98" t="s">
        <v>87</v>
      </c>
      <c r="E98">
        <v>2500</v>
      </c>
      <c r="F98" t="s">
        <v>72</v>
      </c>
      <c r="G98" t="s">
        <v>73</v>
      </c>
      <c r="H98" t="s">
        <v>78</v>
      </c>
      <c r="I98" t="str">
        <f t="shared" si="5"/>
        <v>2026-09</v>
      </c>
      <c r="J98" t="str">
        <f ca="1">IFERROR(_xludf.XLOOKUP(C98,'Agent Master'!$A:$A,'Agent Master'!$B:$B,"Missing"),"Missing")</f>
        <v>Missing</v>
      </c>
      <c r="K98" t="str">
        <f ca="1">IFERROR(_xludf.XLOOKUP(C98,'Agent Master'!$A:$A,'Agent Master'!$C:$C,"Missing"),"Missing")</f>
        <v>Missing</v>
      </c>
      <c r="L98" t="str">
        <f t="shared" si="6"/>
        <v>September</v>
      </c>
      <c r="M98" t="str">
        <f>_xlfn.XLOOKUP('Transaction Data'!D98,ProductMap[Product Code],ProductMap[Product Name])</f>
        <v>APAY</v>
      </c>
      <c r="N98" t="str">
        <f t="shared" si="7"/>
        <v>2026-09</v>
      </c>
      <c r="O98" t="str" cm="1">
        <f t="array" ref="O98">IFERROR(_xlfn.XLOOKUP(C98,AgentMaster[[#All],[Agent ID]],AgentMaster[[#All],[Agent Name]]),"")</f>
        <v>Agent 115</v>
      </c>
      <c r="P98">
        <f t="shared" si="8"/>
        <v>11</v>
      </c>
    </row>
    <row r="99" spans="1:16" x14ac:dyDescent="0.3">
      <c r="A99" t="s">
        <v>218</v>
      </c>
      <c r="B99" s="5">
        <v>46256</v>
      </c>
      <c r="C99" t="s">
        <v>141</v>
      </c>
      <c r="D99" t="s">
        <v>77</v>
      </c>
      <c r="E99">
        <v>750</v>
      </c>
      <c r="F99" t="s">
        <v>72</v>
      </c>
      <c r="G99" t="s">
        <v>73</v>
      </c>
      <c r="H99" t="s">
        <v>81</v>
      </c>
      <c r="I99" t="str">
        <f t="shared" si="5"/>
        <v>2026-08</v>
      </c>
      <c r="J99" t="str">
        <f ca="1">IFERROR(_xludf.XLOOKUP(C99,'Agent Master'!$A:$A,'Agent Master'!$B:$B,"Missing"),"Missing")</f>
        <v>Missing</v>
      </c>
      <c r="K99" t="str">
        <f ca="1">IFERROR(_xludf.XLOOKUP(C99,'Agent Master'!$A:$A,'Agent Master'!$C:$C,"Missing"),"Missing")</f>
        <v>Missing</v>
      </c>
      <c r="L99" t="str">
        <f t="shared" si="6"/>
        <v>August</v>
      </c>
      <c r="M99" t="str">
        <f>_xlfn.XLOOKUP('Transaction Data'!D99,ProductMap[Product Code],ProductMap[Product Name])</f>
        <v>MATM</v>
      </c>
      <c r="N99" t="str">
        <f t="shared" si="7"/>
        <v>2026-08</v>
      </c>
      <c r="O99" t="str" cm="1">
        <f t="array" ref="O99">IFERROR(_xlfn.XLOOKUP(C99,AgentMaster[[#All],[Agent ID]],AgentMaster[[#All],[Agent Name]]),"")</f>
        <v>Agent 126</v>
      </c>
      <c r="P99">
        <f t="shared" si="8"/>
        <v>11</v>
      </c>
    </row>
    <row r="100" spans="1:16" x14ac:dyDescent="0.3">
      <c r="A100" t="s">
        <v>219</v>
      </c>
      <c r="B100" s="5">
        <v>46293</v>
      </c>
      <c r="C100" t="s">
        <v>141</v>
      </c>
      <c r="D100" t="s">
        <v>95</v>
      </c>
      <c r="E100">
        <v>10000</v>
      </c>
      <c r="F100" t="s">
        <v>72</v>
      </c>
      <c r="G100" t="s">
        <v>73</v>
      </c>
      <c r="H100" t="s">
        <v>78</v>
      </c>
      <c r="I100" t="str">
        <f t="shared" si="5"/>
        <v>2026-09</v>
      </c>
      <c r="J100" t="str">
        <f ca="1">IFERROR(_xludf.XLOOKUP(C100,'Agent Master'!$A:$A,'Agent Master'!$B:$B,"Missing"),"Missing")</f>
        <v>Missing</v>
      </c>
      <c r="K100" t="str">
        <f ca="1">IFERROR(_xludf.XLOOKUP(C100,'Agent Master'!$A:$A,'Agent Master'!$C:$C,"Missing"),"Missing")</f>
        <v>Missing</v>
      </c>
      <c r="L100" t="str">
        <f t="shared" si="6"/>
        <v>September</v>
      </c>
      <c r="M100" t="str">
        <f>_xlfn.XLOOKUP('Transaction Data'!D100,ProductMap[Product Code],ProductMap[Product Name])</f>
        <v>BBPS</v>
      </c>
      <c r="N100" t="str">
        <f t="shared" si="7"/>
        <v>2026-09</v>
      </c>
      <c r="O100" t="str" cm="1">
        <f t="array" ref="O100">IFERROR(_xlfn.XLOOKUP(C100,AgentMaster[[#All],[Agent ID]],AgentMaster[[#All],[Agent Name]]),"")</f>
        <v>Agent 126</v>
      </c>
      <c r="P100">
        <f t="shared" si="8"/>
        <v>11</v>
      </c>
    </row>
    <row r="101" spans="1:16" x14ac:dyDescent="0.3">
      <c r="A101" t="s">
        <v>220</v>
      </c>
      <c r="B101" s="5">
        <v>46243</v>
      </c>
      <c r="C101" t="s">
        <v>94</v>
      </c>
      <c r="D101" t="s">
        <v>90</v>
      </c>
      <c r="E101">
        <v>250</v>
      </c>
      <c r="F101" t="s">
        <v>72</v>
      </c>
      <c r="G101" t="s">
        <v>84</v>
      </c>
      <c r="H101" t="s">
        <v>96</v>
      </c>
      <c r="I101" t="str">
        <f t="shared" si="5"/>
        <v>2026-08</v>
      </c>
      <c r="J101" t="str">
        <f ca="1">IFERROR(_xludf.XLOOKUP(C101,'Agent Master'!$A:$A,'Agent Master'!$B:$B,"Missing"),"Missing")</f>
        <v>Missing</v>
      </c>
      <c r="K101" t="str">
        <f ca="1">IFERROR(_xludf.XLOOKUP(C101,'Agent Master'!$A:$A,'Agent Master'!$C:$C,"Missing"),"Missing")</f>
        <v>Missing</v>
      </c>
      <c r="L101" t="str">
        <f t="shared" si="6"/>
        <v>August</v>
      </c>
      <c r="M101" t="str">
        <f>_xlfn.XLOOKUP('Transaction Data'!D101,ProductMap[Product Code],ProductMap[Product Name])</f>
        <v>UPI</v>
      </c>
      <c r="N101" t="str">
        <f t="shared" si="7"/>
        <v>2026-08</v>
      </c>
      <c r="O101" t="str" cm="1">
        <f t="array" ref="O101">IFERROR(_xlfn.XLOOKUP(C101,AgentMaster[[#All],[Agent ID]],AgentMaster[[#All],[Agent Name]]),"")</f>
        <v>Agent 130</v>
      </c>
      <c r="P101">
        <f t="shared" si="8"/>
        <v>16</v>
      </c>
    </row>
    <row r="102" spans="1:16" x14ac:dyDescent="0.3">
      <c r="A102" t="s">
        <v>221</v>
      </c>
      <c r="B102" s="5">
        <v>46248</v>
      </c>
      <c r="C102" t="s">
        <v>94</v>
      </c>
      <c r="D102" t="s">
        <v>87</v>
      </c>
      <c r="E102">
        <v>2000</v>
      </c>
      <c r="F102" t="s">
        <v>72</v>
      </c>
      <c r="G102" t="s">
        <v>84</v>
      </c>
      <c r="H102" t="s">
        <v>78</v>
      </c>
      <c r="I102" t="str">
        <f t="shared" si="5"/>
        <v>2026-08</v>
      </c>
      <c r="J102" t="str">
        <f ca="1">IFERROR(_xludf.XLOOKUP(C102,'Agent Master'!$A:$A,'Agent Master'!$B:$B,"Missing"),"Missing")</f>
        <v>Missing</v>
      </c>
      <c r="K102" t="str">
        <f ca="1">IFERROR(_xludf.XLOOKUP(C102,'Agent Master'!$A:$A,'Agent Master'!$C:$C,"Missing"),"Missing")</f>
        <v>Missing</v>
      </c>
      <c r="L102" t="str">
        <f t="shared" si="6"/>
        <v>August</v>
      </c>
      <c r="M102" t="str">
        <f>_xlfn.XLOOKUP('Transaction Data'!D102,ProductMap[Product Code],ProductMap[Product Name])</f>
        <v>APAY</v>
      </c>
      <c r="N102" t="str">
        <f t="shared" si="7"/>
        <v>2026-08</v>
      </c>
      <c r="O102" t="str" cm="1">
        <f t="array" ref="O102">IFERROR(_xlfn.XLOOKUP(C102,AgentMaster[[#All],[Agent ID]],AgentMaster[[#All],[Agent Name]]),"")</f>
        <v>Agent 130</v>
      </c>
      <c r="P102">
        <f t="shared" si="8"/>
        <v>16</v>
      </c>
    </row>
    <row r="103" spans="1:16" x14ac:dyDescent="0.3">
      <c r="A103" t="s">
        <v>222</v>
      </c>
      <c r="B103" s="5">
        <v>46251</v>
      </c>
      <c r="C103" t="s">
        <v>157</v>
      </c>
      <c r="D103" t="s">
        <v>110</v>
      </c>
      <c r="E103">
        <v>250</v>
      </c>
      <c r="F103" t="s">
        <v>72</v>
      </c>
      <c r="G103" t="s">
        <v>73</v>
      </c>
      <c r="H103" t="s">
        <v>96</v>
      </c>
      <c r="I103" t="str">
        <f t="shared" si="5"/>
        <v>2026-08</v>
      </c>
      <c r="J103" t="str">
        <f ca="1">IFERROR(_xludf.XLOOKUP(C103,'Agent Master'!$A:$A,'Agent Master'!$B:$B,"Missing"),"Missing")</f>
        <v>Missing</v>
      </c>
      <c r="K103" t="str">
        <f ca="1">IFERROR(_xludf.XLOOKUP(C103,'Agent Master'!$A:$A,'Agent Master'!$C:$C,"Missing"),"Missing")</f>
        <v>Missing</v>
      </c>
      <c r="L103" t="str">
        <f t="shared" si="6"/>
        <v>August</v>
      </c>
      <c r="M103" t="str">
        <f>_xlfn.XLOOKUP('Transaction Data'!D103,ProductMap[Product Code],ProductMap[Product Name])</f>
        <v>DMT</v>
      </c>
      <c r="N103" t="str">
        <f t="shared" si="7"/>
        <v>2026-08</v>
      </c>
      <c r="O103" t="str" cm="1">
        <f t="array" ref="O103">IFERROR(_xlfn.XLOOKUP(C103,AgentMaster[[#All],[Agent ID]],AgentMaster[[#All],[Agent Name]]),"")</f>
        <v>Agent 106</v>
      </c>
      <c r="P103">
        <f t="shared" si="8"/>
        <v>8</v>
      </c>
    </row>
    <row r="104" spans="1:16" x14ac:dyDescent="0.3">
      <c r="A104" t="s">
        <v>223</v>
      </c>
      <c r="B104" s="5">
        <v>46249</v>
      </c>
      <c r="D104" t="s">
        <v>71</v>
      </c>
      <c r="E104">
        <v>20000</v>
      </c>
      <c r="F104" t="s">
        <v>72</v>
      </c>
      <c r="G104" t="s">
        <v>73</v>
      </c>
      <c r="H104" t="s">
        <v>74</v>
      </c>
      <c r="I104" t="str">
        <f t="shared" si="5"/>
        <v>2026-08</v>
      </c>
      <c r="J104" t="str">
        <f ca="1">IFERROR(_xludf.XLOOKUP(C104,'Agent Master'!$A:$A,'Agent Master'!$B:$B,"Missing"),"Missing")</f>
        <v>Missing</v>
      </c>
      <c r="K104" t="str">
        <f ca="1">IFERROR(_xludf.XLOOKUP(C104,'Agent Master'!$A:$A,'Agent Master'!$C:$C,"Missing"),"Missing")</f>
        <v>Missing</v>
      </c>
      <c r="L104" t="str">
        <f t="shared" si="6"/>
        <v>August</v>
      </c>
      <c r="M104" t="str">
        <f>_xlfn.XLOOKUP('Transaction Data'!D104,ProductMap[Product Code],ProductMap[Product Name])</f>
        <v>AEPS</v>
      </c>
      <c r="N104" t="str">
        <f t="shared" si="7"/>
        <v>2026-08</v>
      </c>
      <c r="O104" t="str" cm="1">
        <f t="array" ref="O104">IFERROR(_xlfn.XLOOKUP(C104,AgentMaster[[#All],[Agent ID]],AgentMaster[[#All],[Agent Name]]),"")</f>
        <v/>
      </c>
      <c r="P104">
        <f t="shared" si="8"/>
        <v>25</v>
      </c>
    </row>
    <row r="105" spans="1:16" x14ac:dyDescent="0.3">
      <c r="A105" t="s">
        <v>224</v>
      </c>
      <c r="B105" s="5">
        <v>46247</v>
      </c>
      <c r="C105" t="s">
        <v>80</v>
      </c>
      <c r="D105" t="s">
        <v>95</v>
      </c>
      <c r="E105">
        <v>750</v>
      </c>
      <c r="F105" t="s">
        <v>72</v>
      </c>
      <c r="G105" t="s">
        <v>73</v>
      </c>
      <c r="H105" t="s">
        <v>78</v>
      </c>
      <c r="I105" t="str">
        <f t="shared" si="5"/>
        <v>2026-08</v>
      </c>
      <c r="J105" t="str">
        <f ca="1">IFERROR(_xludf.XLOOKUP(C105,'Agent Master'!$A:$A,'Agent Master'!$B:$B,"Missing"),"Missing")</f>
        <v>Missing</v>
      </c>
      <c r="K105" t="str">
        <f ca="1">IFERROR(_xludf.XLOOKUP(C105,'Agent Master'!$A:$A,'Agent Master'!$C:$C,"Missing"),"Missing")</f>
        <v>Missing</v>
      </c>
      <c r="L105" t="str">
        <f t="shared" si="6"/>
        <v>August</v>
      </c>
      <c r="M105" t="str">
        <f>_xlfn.XLOOKUP('Transaction Data'!D105,ProductMap[Product Code],ProductMap[Product Name])</f>
        <v>BBPS</v>
      </c>
      <c r="N105" t="str">
        <f t="shared" si="7"/>
        <v>2026-08</v>
      </c>
      <c r="O105" t="str" cm="1">
        <f t="array" ref="O105">IFERROR(_xlfn.XLOOKUP(C105,AgentMaster[[#All],[Agent ID]],AgentMaster[[#All],[Agent Name]]),"")</f>
        <v>Agent 102</v>
      </c>
      <c r="P105">
        <f t="shared" si="8"/>
        <v>13</v>
      </c>
    </row>
    <row r="106" spans="1:16" x14ac:dyDescent="0.3">
      <c r="A106" t="s">
        <v>225</v>
      </c>
      <c r="B106" s="5">
        <v>46277</v>
      </c>
      <c r="C106" t="s">
        <v>70</v>
      </c>
      <c r="D106" t="s">
        <v>95</v>
      </c>
      <c r="E106">
        <v>1000</v>
      </c>
      <c r="F106" t="s">
        <v>72</v>
      </c>
      <c r="G106" t="s">
        <v>73</v>
      </c>
      <c r="H106" t="s">
        <v>96</v>
      </c>
      <c r="I106" t="str">
        <f t="shared" si="5"/>
        <v>2026-09</v>
      </c>
      <c r="J106" t="str">
        <f ca="1">IFERROR(_xludf.XLOOKUP(C106,'Agent Master'!$A:$A,'Agent Master'!$B:$B,"Missing"),"Missing")</f>
        <v>Missing</v>
      </c>
      <c r="K106" t="str">
        <f ca="1">IFERROR(_xludf.XLOOKUP(C106,'Agent Master'!$A:$A,'Agent Master'!$C:$C,"Missing"),"Missing")</f>
        <v>Missing</v>
      </c>
      <c r="L106" t="str">
        <f t="shared" si="6"/>
        <v>September</v>
      </c>
      <c r="M106" t="str">
        <f>_xlfn.XLOOKUP('Transaction Data'!D106,ProductMap[Product Code],ProductMap[Product Name])</f>
        <v>BBPS</v>
      </c>
      <c r="N106" t="str">
        <f t="shared" si="7"/>
        <v>2026-09</v>
      </c>
      <c r="O106" t="str" cm="1">
        <f t="array" ref="O106">IFERROR(_xlfn.XLOOKUP(C106,AgentMaster[[#All],[Agent ID]],AgentMaster[[#All],[Agent Name]]),"")</f>
        <v>Agent 108</v>
      </c>
      <c r="P106">
        <f t="shared" si="8"/>
        <v>12</v>
      </c>
    </row>
    <row r="107" spans="1:16" x14ac:dyDescent="0.3">
      <c r="A107" t="s">
        <v>226</v>
      </c>
      <c r="B107" s="5">
        <v>46284</v>
      </c>
      <c r="C107" t="s">
        <v>122</v>
      </c>
      <c r="D107" t="s">
        <v>90</v>
      </c>
      <c r="E107">
        <v>10000</v>
      </c>
      <c r="F107" t="s">
        <v>92</v>
      </c>
      <c r="G107" t="s">
        <v>73</v>
      </c>
      <c r="H107" t="s">
        <v>81</v>
      </c>
      <c r="I107" t="str">
        <f t="shared" si="5"/>
        <v>2026-09</v>
      </c>
      <c r="J107" t="str">
        <f ca="1">IFERROR(_xludf.XLOOKUP(C107,'Agent Master'!$A:$A,'Agent Master'!$B:$B,"Missing"),"Missing")</f>
        <v>Missing</v>
      </c>
      <c r="K107" t="str">
        <f ca="1">IFERROR(_xludf.XLOOKUP(C107,'Agent Master'!$A:$A,'Agent Master'!$C:$C,"Missing"),"Missing")</f>
        <v>Missing</v>
      </c>
      <c r="L107" t="str">
        <f t="shared" si="6"/>
        <v>September</v>
      </c>
      <c r="M107" t="str">
        <f>_xlfn.XLOOKUP('Transaction Data'!D107,ProductMap[Product Code],ProductMap[Product Name])</f>
        <v>UPI</v>
      </c>
      <c r="N107" t="str">
        <f t="shared" si="7"/>
        <v>2026-09</v>
      </c>
      <c r="O107" t="str" cm="1">
        <f t="array" ref="O107">IFERROR(_xlfn.XLOOKUP(C107,AgentMaster[[#All],[Agent ID]],AgentMaster[[#All],[Agent Name]]),"")</f>
        <v>Agent 124</v>
      </c>
      <c r="P107">
        <f t="shared" si="8"/>
        <v>11</v>
      </c>
    </row>
    <row r="108" spans="1:16" x14ac:dyDescent="0.3">
      <c r="A108" t="s">
        <v>227</v>
      </c>
      <c r="B108" s="5">
        <v>46284</v>
      </c>
      <c r="C108" t="s">
        <v>199</v>
      </c>
      <c r="D108" t="s">
        <v>87</v>
      </c>
      <c r="E108">
        <v>500</v>
      </c>
      <c r="F108" t="s">
        <v>92</v>
      </c>
      <c r="G108" t="s">
        <v>73</v>
      </c>
      <c r="H108" t="s">
        <v>96</v>
      </c>
      <c r="I108" t="str">
        <f t="shared" si="5"/>
        <v>2026-09</v>
      </c>
      <c r="J108" t="str">
        <f ca="1">IFERROR(_xludf.XLOOKUP(C108,'Agent Master'!$A:$A,'Agent Master'!$B:$B,"Missing"),"Missing")</f>
        <v>Missing</v>
      </c>
      <c r="K108" t="str">
        <f ca="1">IFERROR(_xludf.XLOOKUP(C108,'Agent Master'!$A:$A,'Agent Master'!$C:$C,"Missing"),"Missing")</f>
        <v>Missing</v>
      </c>
      <c r="L108" t="str">
        <f t="shared" si="6"/>
        <v>September</v>
      </c>
      <c r="M108" t="str">
        <f>_xlfn.XLOOKUP('Transaction Data'!D108,ProductMap[Product Code],ProductMap[Product Name])</f>
        <v>APAY</v>
      </c>
      <c r="N108" t="str">
        <f t="shared" si="7"/>
        <v>2026-09</v>
      </c>
      <c r="O108" t="str" cm="1">
        <f t="array" ref="O108">IFERROR(_xlfn.XLOOKUP(C108,AgentMaster[[#All],[Agent ID]],AgentMaster[[#All],[Agent Name]]),"")</f>
        <v>Agent 111</v>
      </c>
      <c r="P108">
        <f t="shared" si="8"/>
        <v>8</v>
      </c>
    </row>
    <row r="109" spans="1:16" x14ac:dyDescent="0.3">
      <c r="A109" t="s">
        <v>228</v>
      </c>
      <c r="B109" s="5">
        <v>46271</v>
      </c>
      <c r="C109" t="s">
        <v>147</v>
      </c>
      <c r="D109" t="s">
        <v>110</v>
      </c>
      <c r="E109">
        <v>15000</v>
      </c>
      <c r="F109" t="s">
        <v>72</v>
      </c>
      <c r="G109" t="s">
        <v>73</v>
      </c>
      <c r="H109" t="s">
        <v>74</v>
      </c>
      <c r="I109" t="str">
        <f t="shared" si="5"/>
        <v>2026-09</v>
      </c>
      <c r="J109" t="str">
        <f ca="1">IFERROR(_xludf.XLOOKUP(C109,'Agent Master'!$A:$A,'Agent Master'!$B:$B,"Missing"),"Missing")</f>
        <v>Missing</v>
      </c>
      <c r="K109" t="str">
        <f ca="1">IFERROR(_xludf.XLOOKUP(C109,'Agent Master'!$A:$A,'Agent Master'!$C:$C,"Missing"),"Missing")</f>
        <v>Missing</v>
      </c>
      <c r="L109" t="str">
        <f t="shared" si="6"/>
        <v>September</v>
      </c>
      <c r="M109" t="str">
        <f>_xlfn.XLOOKUP('Transaction Data'!D109,ProductMap[Product Code],ProductMap[Product Name])</f>
        <v>DMT</v>
      </c>
      <c r="N109" t="str">
        <f t="shared" si="7"/>
        <v>2026-09</v>
      </c>
      <c r="O109" t="str" cm="1">
        <f t="array" ref="O109">IFERROR(_xlfn.XLOOKUP(C109,AgentMaster[[#All],[Agent ID]],AgentMaster[[#All],[Agent Name]]),"")</f>
        <v>Agent 125</v>
      </c>
      <c r="P109">
        <f t="shared" si="8"/>
        <v>7</v>
      </c>
    </row>
    <row r="110" spans="1:16" x14ac:dyDescent="0.3">
      <c r="A110" t="s">
        <v>229</v>
      </c>
      <c r="B110" s="5">
        <v>46241</v>
      </c>
      <c r="C110" t="s">
        <v>193</v>
      </c>
      <c r="D110" t="s">
        <v>77</v>
      </c>
      <c r="E110">
        <v>10000</v>
      </c>
      <c r="F110" t="s">
        <v>72</v>
      </c>
      <c r="G110" t="s">
        <v>73</v>
      </c>
      <c r="H110" t="s">
        <v>81</v>
      </c>
      <c r="I110" t="str">
        <f t="shared" si="5"/>
        <v>2026-08</v>
      </c>
      <c r="J110" t="str">
        <f ca="1">IFERROR(_xludf.XLOOKUP(C110,'Agent Master'!$A:$A,'Agent Master'!$B:$B,"Missing"),"Missing")</f>
        <v>Missing</v>
      </c>
      <c r="K110" t="str">
        <f ca="1">IFERROR(_xludf.XLOOKUP(C110,'Agent Master'!$A:$A,'Agent Master'!$C:$C,"Missing"),"Missing")</f>
        <v>Missing</v>
      </c>
      <c r="L110" t="str">
        <f t="shared" si="6"/>
        <v>August</v>
      </c>
      <c r="M110" t="str">
        <f>_xlfn.XLOOKUP('Transaction Data'!D110,ProductMap[Product Code],ProductMap[Product Name])</f>
        <v>MATM</v>
      </c>
      <c r="N110" t="str">
        <f t="shared" si="7"/>
        <v>2026-08</v>
      </c>
      <c r="O110" t="str" cm="1">
        <f t="array" ref="O110">IFERROR(_xlfn.XLOOKUP(C110,AgentMaster[[#All],[Agent ID]],AgentMaster[[#All],[Agent Name]]),"")</f>
        <v>Agent 120</v>
      </c>
      <c r="P110">
        <f t="shared" si="8"/>
        <v>8</v>
      </c>
    </row>
    <row r="111" spans="1:16" x14ac:dyDescent="0.3">
      <c r="A111" t="s">
        <v>230</v>
      </c>
      <c r="B111" s="5">
        <v>46257</v>
      </c>
      <c r="C111" t="s">
        <v>129</v>
      </c>
      <c r="D111" t="s">
        <v>110</v>
      </c>
      <c r="E111">
        <v>12500</v>
      </c>
      <c r="F111" t="s">
        <v>72</v>
      </c>
      <c r="G111" t="s">
        <v>73</v>
      </c>
      <c r="H111" t="s">
        <v>96</v>
      </c>
      <c r="I111" t="str">
        <f t="shared" si="5"/>
        <v>2026-08</v>
      </c>
      <c r="J111" t="str">
        <f ca="1">IFERROR(_xludf.XLOOKUP(C111,'Agent Master'!$A:$A,'Agent Master'!$B:$B,"Missing"),"Missing")</f>
        <v>Missing</v>
      </c>
      <c r="K111" t="str">
        <f ca="1">IFERROR(_xludf.XLOOKUP(C111,'Agent Master'!$A:$A,'Agent Master'!$C:$C,"Missing"),"Missing")</f>
        <v>Missing</v>
      </c>
      <c r="L111" t="str">
        <f t="shared" si="6"/>
        <v>August</v>
      </c>
      <c r="M111" t="str">
        <f>_xlfn.XLOOKUP('Transaction Data'!D111,ProductMap[Product Code],ProductMap[Product Name])</f>
        <v>DMT</v>
      </c>
      <c r="N111" t="str">
        <f t="shared" si="7"/>
        <v>2026-08</v>
      </c>
      <c r="O111" t="str" cm="1">
        <f t="array" ref="O111">IFERROR(_xlfn.XLOOKUP(C111,AgentMaster[[#All],[Agent ID]],AgentMaster[[#All],[Agent Name]]),"")</f>
        <v>Agent 135</v>
      </c>
      <c r="P111">
        <f t="shared" si="8"/>
        <v>19</v>
      </c>
    </row>
    <row r="112" spans="1:16" x14ac:dyDescent="0.3">
      <c r="A112" t="s">
        <v>231</v>
      </c>
      <c r="B112" s="5">
        <v>46235</v>
      </c>
      <c r="C112" t="s">
        <v>180</v>
      </c>
      <c r="D112" t="s">
        <v>110</v>
      </c>
      <c r="E112">
        <v>500</v>
      </c>
      <c r="F112" t="s">
        <v>72</v>
      </c>
      <c r="G112" t="s">
        <v>84</v>
      </c>
      <c r="H112" t="s">
        <v>78</v>
      </c>
      <c r="I112" t="str">
        <f t="shared" si="5"/>
        <v>2026-08</v>
      </c>
      <c r="J112" t="str">
        <f ca="1">IFERROR(_xludf.XLOOKUP(C112,'Agent Master'!$A:$A,'Agent Master'!$B:$B,"Missing"),"Missing")</f>
        <v>Missing</v>
      </c>
      <c r="K112" t="str">
        <f ca="1">IFERROR(_xludf.XLOOKUP(C112,'Agent Master'!$A:$A,'Agent Master'!$C:$C,"Missing"),"Missing")</f>
        <v>Missing</v>
      </c>
      <c r="L112" t="str">
        <f t="shared" si="6"/>
        <v>August</v>
      </c>
      <c r="M112" t="str">
        <f>_xlfn.XLOOKUP('Transaction Data'!D112,ProductMap[Product Code],ProductMap[Product Name])</f>
        <v>DMT</v>
      </c>
      <c r="N112" t="str">
        <f t="shared" si="7"/>
        <v>2026-08</v>
      </c>
      <c r="O112" t="str" cm="1">
        <f t="array" ref="O112">IFERROR(_xlfn.XLOOKUP(C112,AgentMaster[[#All],[Agent ID]],AgentMaster[[#All],[Agent Name]]),"")</f>
        <v>Agent 127</v>
      </c>
      <c r="P112">
        <f t="shared" si="8"/>
        <v>11</v>
      </c>
    </row>
    <row r="113" spans="1:16" x14ac:dyDescent="0.3">
      <c r="A113" t="s">
        <v>232</v>
      </c>
      <c r="B113" s="5">
        <v>46280</v>
      </c>
      <c r="C113" t="s">
        <v>204</v>
      </c>
      <c r="D113" t="s">
        <v>110</v>
      </c>
      <c r="E113">
        <v>750</v>
      </c>
      <c r="F113" t="s">
        <v>72</v>
      </c>
      <c r="G113" t="s">
        <v>73</v>
      </c>
      <c r="H113" t="s">
        <v>96</v>
      </c>
      <c r="I113" t="str">
        <f t="shared" si="5"/>
        <v>2026-09</v>
      </c>
      <c r="J113" t="str">
        <f ca="1">IFERROR(_xludf.XLOOKUP(C113,'Agent Master'!$A:$A,'Agent Master'!$B:$B,"Missing"),"Missing")</f>
        <v>Missing</v>
      </c>
      <c r="K113" t="str">
        <f ca="1">IFERROR(_xludf.XLOOKUP(C113,'Agent Master'!$A:$A,'Agent Master'!$C:$C,"Missing"),"Missing")</f>
        <v>Missing</v>
      </c>
      <c r="L113" t="str">
        <f t="shared" si="6"/>
        <v>September</v>
      </c>
      <c r="M113" t="str">
        <f>_xlfn.XLOOKUP('Transaction Data'!D113,ProductMap[Product Code],ProductMap[Product Name])</f>
        <v>DMT</v>
      </c>
      <c r="N113" t="str">
        <f t="shared" si="7"/>
        <v>2026-09</v>
      </c>
      <c r="O113" t="str" cm="1">
        <f t="array" ref="O113">IFERROR(_xlfn.XLOOKUP(C113,AgentMaster[[#All],[Agent ID]],AgentMaster[[#All],[Agent Name]]),"")</f>
        <v>Agent 110</v>
      </c>
      <c r="P113">
        <f t="shared" si="8"/>
        <v>17</v>
      </c>
    </row>
    <row r="114" spans="1:16" x14ac:dyDescent="0.3">
      <c r="A114" t="s">
        <v>233</v>
      </c>
      <c r="B114" s="5">
        <v>46274</v>
      </c>
      <c r="C114" t="s">
        <v>129</v>
      </c>
      <c r="D114" t="s">
        <v>110</v>
      </c>
      <c r="E114">
        <v>5000</v>
      </c>
      <c r="F114" t="s">
        <v>72</v>
      </c>
      <c r="G114" t="s">
        <v>73</v>
      </c>
      <c r="H114" t="s">
        <v>96</v>
      </c>
      <c r="I114" t="str">
        <f t="shared" si="5"/>
        <v>2026-09</v>
      </c>
      <c r="J114" t="str">
        <f ca="1">IFERROR(_xludf.XLOOKUP(C114,'Agent Master'!$A:$A,'Agent Master'!$B:$B,"Missing"),"Missing")</f>
        <v>Missing</v>
      </c>
      <c r="K114" t="str">
        <f ca="1">IFERROR(_xludf.XLOOKUP(C114,'Agent Master'!$A:$A,'Agent Master'!$C:$C,"Missing"),"Missing")</f>
        <v>Missing</v>
      </c>
      <c r="L114" t="str">
        <f t="shared" si="6"/>
        <v>September</v>
      </c>
      <c r="M114" t="str">
        <f>_xlfn.XLOOKUP('Transaction Data'!D114,ProductMap[Product Code],ProductMap[Product Name])</f>
        <v>DMT</v>
      </c>
      <c r="N114" t="str">
        <f t="shared" si="7"/>
        <v>2026-09</v>
      </c>
      <c r="O114" t="str" cm="1">
        <f t="array" ref="O114">IFERROR(_xlfn.XLOOKUP(C114,AgentMaster[[#All],[Agent ID]],AgentMaster[[#All],[Agent Name]]),"")</f>
        <v>Agent 135</v>
      </c>
      <c r="P114">
        <f t="shared" si="8"/>
        <v>19</v>
      </c>
    </row>
    <row r="115" spans="1:16" x14ac:dyDescent="0.3">
      <c r="A115" t="s">
        <v>234</v>
      </c>
      <c r="B115" s="5">
        <v>46255</v>
      </c>
      <c r="C115" t="s">
        <v>104</v>
      </c>
      <c r="D115" t="s">
        <v>71</v>
      </c>
      <c r="E115">
        <v>1500</v>
      </c>
      <c r="F115" t="s">
        <v>72</v>
      </c>
      <c r="G115" t="s">
        <v>73</v>
      </c>
      <c r="H115" t="s">
        <v>78</v>
      </c>
      <c r="I115" t="str">
        <f t="shared" si="5"/>
        <v>2026-08</v>
      </c>
      <c r="J115" t="str">
        <f ca="1">IFERROR(_xludf.XLOOKUP(C115,'Agent Master'!$A:$A,'Agent Master'!$B:$B,"Missing"),"Missing")</f>
        <v>Missing</v>
      </c>
      <c r="K115" t="str">
        <f ca="1">IFERROR(_xludf.XLOOKUP(C115,'Agent Master'!$A:$A,'Agent Master'!$C:$C,"Missing"),"Missing")</f>
        <v>Missing</v>
      </c>
      <c r="L115" t="str">
        <f t="shared" si="6"/>
        <v>August</v>
      </c>
      <c r="M115" t="str">
        <f>_xlfn.XLOOKUP('Transaction Data'!D115,ProductMap[Product Code],ProductMap[Product Name])</f>
        <v>AEPS</v>
      </c>
      <c r="N115" t="str">
        <f t="shared" si="7"/>
        <v>2026-08</v>
      </c>
      <c r="O115" t="str" cm="1">
        <f t="array" ref="O115">IFERROR(_xlfn.XLOOKUP(C115,AgentMaster[[#All],[Agent ID]],AgentMaster[[#All],[Agent Name]]),"")</f>
        <v>Agent 116</v>
      </c>
      <c r="P115">
        <f t="shared" si="8"/>
        <v>15</v>
      </c>
    </row>
    <row r="116" spans="1:16" x14ac:dyDescent="0.3">
      <c r="A116" t="s">
        <v>235</v>
      </c>
      <c r="B116" s="5">
        <v>46271</v>
      </c>
      <c r="C116" t="s">
        <v>236</v>
      </c>
      <c r="D116" t="s">
        <v>77</v>
      </c>
      <c r="E116">
        <v>2500</v>
      </c>
      <c r="F116" t="s">
        <v>72</v>
      </c>
      <c r="G116" t="s">
        <v>73</v>
      </c>
      <c r="H116" t="s">
        <v>78</v>
      </c>
      <c r="I116" t="str">
        <f t="shared" si="5"/>
        <v>2026-09</v>
      </c>
      <c r="J116" t="str">
        <f ca="1">IFERROR(_xludf.XLOOKUP(C116,'Agent Master'!$A:$A,'Agent Master'!$B:$B,"Missing"),"Missing")</f>
        <v>Missing</v>
      </c>
      <c r="K116" t="str">
        <f ca="1">IFERROR(_xludf.XLOOKUP(C116,'Agent Master'!$A:$A,'Agent Master'!$C:$C,"Missing"),"Missing")</f>
        <v>Missing</v>
      </c>
      <c r="L116" t="str">
        <f t="shared" si="6"/>
        <v>September</v>
      </c>
      <c r="M116" t="str">
        <f>_xlfn.XLOOKUP('Transaction Data'!D116,ProductMap[Product Code],ProductMap[Product Name])</f>
        <v>MATM</v>
      </c>
      <c r="N116" t="str">
        <f t="shared" si="7"/>
        <v>2026-09</v>
      </c>
      <c r="O116" t="str" cm="1">
        <f t="array" ref="O116">IFERROR(_xlfn.XLOOKUP(C116,AgentMaster[[#All],[Agent ID]],AgentMaster[[#All],[Agent Name]]),"")</f>
        <v>Agent 140</v>
      </c>
      <c r="P116">
        <f t="shared" si="8"/>
        <v>5</v>
      </c>
    </row>
    <row r="117" spans="1:16" x14ac:dyDescent="0.3">
      <c r="A117" t="s">
        <v>237</v>
      </c>
      <c r="B117" s="5">
        <v>46289</v>
      </c>
      <c r="C117" t="s">
        <v>106</v>
      </c>
      <c r="D117" t="s">
        <v>90</v>
      </c>
      <c r="E117">
        <v>5000</v>
      </c>
      <c r="F117" t="s">
        <v>72</v>
      </c>
      <c r="G117" t="s">
        <v>84</v>
      </c>
      <c r="H117" t="s">
        <v>96</v>
      </c>
      <c r="I117" t="str">
        <f t="shared" si="5"/>
        <v>2026-09</v>
      </c>
      <c r="J117" t="str">
        <f ca="1">IFERROR(_xludf.XLOOKUP(C117,'Agent Master'!$A:$A,'Agent Master'!$B:$B,"Missing"),"Missing")</f>
        <v>Missing</v>
      </c>
      <c r="K117" t="str">
        <f ca="1">IFERROR(_xludf.XLOOKUP(C117,'Agent Master'!$A:$A,'Agent Master'!$C:$C,"Missing"),"Missing")</f>
        <v>Missing</v>
      </c>
      <c r="L117" t="str">
        <f t="shared" si="6"/>
        <v>September</v>
      </c>
      <c r="M117" t="str">
        <f>_xlfn.XLOOKUP('Transaction Data'!D117,ProductMap[Product Code],ProductMap[Product Name])</f>
        <v>UPI</v>
      </c>
      <c r="N117" t="str">
        <f t="shared" si="7"/>
        <v>2026-09</v>
      </c>
      <c r="O117" t="str" cm="1">
        <f t="array" ref="O117">IFERROR(_xlfn.XLOOKUP(C117,AgentMaster[[#All],[Agent ID]],AgentMaster[[#All],[Agent Name]]),"")</f>
        <v>Agent 121</v>
      </c>
      <c r="P117">
        <f t="shared" si="8"/>
        <v>7</v>
      </c>
    </row>
    <row r="118" spans="1:16" x14ac:dyDescent="0.3">
      <c r="A118" t="s">
        <v>238</v>
      </c>
      <c r="B118" s="5">
        <v>46256</v>
      </c>
      <c r="C118" t="s">
        <v>89</v>
      </c>
      <c r="D118" t="s">
        <v>95</v>
      </c>
      <c r="E118">
        <v>15000</v>
      </c>
      <c r="F118" t="s">
        <v>72</v>
      </c>
      <c r="G118" t="s">
        <v>73</v>
      </c>
      <c r="H118" t="s">
        <v>81</v>
      </c>
      <c r="I118" t="str">
        <f t="shared" si="5"/>
        <v>2026-08</v>
      </c>
      <c r="J118" t="str">
        <f ca="1">IFERROR(_xludf.XLOOKUP(C118,'Agent Master'!$A:$A,'Agent Master'!$B:$B,"Missing"),"Missing")</f>
        <v>Missing</v>
      </c>
      <c r="K118" t="str">
        <f ca="1">IFERROR(_xludf.XLOOKUP(C118,'Agent Master'!$A:$A,'Agent Master'!$C:$C,"Missing"),"Missing")</f>
        <v>Missing</v>
      </c>
      <c r="L118" t="str">
        <f t="shared" si="6"/>
        <v>August</v>
      </c>
      <c r="M118" t="str">
        <f>_xlfn.XLOOKUP('Transaction Data'!D118,ProductMap[Product Code],ProductMap[Product Name])</f>
        <v>BBPS</v>
      </c>
      <c r="N118" t="str">
        <f t="shared" si="7"/>
        <v>2026-08</v>
      </c>
      <c r="O118" t="str" cm="1">
        <f t="array" ref="O118">IFERROR(_xlfn.XLOOKUP(C118,AgentMaster[[#All],[Agent ID]],AgentMaster[[#All],[Agent Name]]),"")</f>
        <v>Agent 118</v>
      </c>
      <c r="P118">
        <f t="shared" si="8"/>
        <v>11</v>
      </c>
    </row>
    <row r="119" spans="1:16" x14ac:dyDescent="0.3">
      <c r="A119" t="s">
        <v>239</v>
      </c>
      <c r="B119" s="5">
        <v>46268</v>
      </c>
      <c r="C119" t="s">
        <v>83</v>
      </c>
      <c r="D119" t="s">
        <v>71</v>
      </c>
      <c r="E119">
        <v>1000</v>
      </c>
      <c r="F119" t="s">
        <v>72</v>
      </c>
      <c r="G119" t="s">
        <v>84</v>
      </c>
      <c r="H119" t="s">
        <v>74</v>
      </c>
      <c r="I119" t="str">
        <f t="shared" si="5"/>
        <v>2026-09</v>
      </c>
      <c r="J119" t="str">
        <f ca="1">IFERROR(_xludf.XLOOKUP(C119,'Agent Master'!$A:$A,'Agent Master'!$B:$B,"Missing"),"Missing")</f>
        <v>Missing</v>
      </c>
      <c r="K119" t="str">
        <f ca="1">IFERROR(_xludf.XLOOKUP(C119,'Agent Master'!$A:$A,'Agent Master'!$C:$C,"Missing"),"Missing")</f>
        <v>Missing</v>
      </c>
      <c r="L119" t="str">
        <f t="shared" si="6"/>
        <v>September</v>
      </c>
      <c r="M119" t="str">
        <f>_xlfn.XLOOKUP('Transaction Data'!D119,ProductMap[Product Code],ProductMap[Product Name])</f>
        <v>AEPS</v>
      </c>
      <c r="N119" t="str">
        <f t="shared" si="7"/>
        <v>2026-09</v>
      </c>
      <c r="O119" t="str" cm="1">
        <f t="array" ref="O119">IFERROR(_xlfn.XLOOKUP(C119,AgentMaster[[#All],[Agent ID]],AgentMaster[[#All],[Agent Name]]),"")</f>
        <v>Agent 113</v>
      </c>
      <c r="P119">
        <f t="shared" si="8"/>
        <v>12</v>
      </c>
    </row>
    <row r="120" spans="1:16" x14ac:dyDescent="0.3">
      <c r="A120" t="s">
        <v>240</v>
      </c>
      <c r="B120" s="5">
        <v>46279</v>
      </c>
      <c r="C120" t="s">
        <v>127</v>
      </c>
      <c r="D120" t="s">
        <v>77</v>
      </c>
      <c r="E120">
        <v>15000</v>
      </c>
      <c r="F120" t="s">
        <v>72</v>
      </c>
      <c r="G120" t="s">
        <v>84</v>
      </c>
      <c r="H120" t="s">
        <v>81</v>
      </c>
      <c r="I120" t="str">
        <f t="shared" si="5"/>
        <v>2026-09</v>
      </c>
      <c r="J120" t="str">
        <f ca="1">IFERROR(_xludf.XLOOKUP(C120,'Agent Master'!$A:$A,'Agent Master'!$B:$B,"Missing"),"Missing")</f>
        <v>Missing</v>
      </c>
      <c r="K120" t="str">
        <f ca="1">IFERROR(_xludf.XLOOKUP(C120,'Agent Master'!$A:$A,'Agent Master'!$C:$C,"Missing"),"Missing")</f>
        <v>Missing</v>
      </c>
      <c r="L120" t="str">
        <f t="shared" si="6"/>
        <v>September</v>
      </c>
      <c r="M120" t="str">
        <f>_xlfn.XLOOKUP('Transaction Data'!D120,ProductMap[Product Code],ProductMap[Product Name])</f>
        <v>MATM</v>
      </c>
      <c r="N120" t="str">
        <f t="shared" si="7"/>
        <v>2026-09</v>
      </c>
      <c r="O120" t="str" cm="1">
        <f t="array" ref="O120">IFERROR(_xlfn.XLOOKUP(C120,AgentMaster[[#All],[Agent ID]],AgentMaster[[#All],[Agent Name]]),"")</f>
        <v>Agent 131</v>
      </c>
      <c r="P120">
        <f t="shared" si="8"/>
        <v>11</v>
      </c>
    </row>
    <row r="121" spans="1:16" x14ac:dyDescent="0.3">
      <c r="A121" t="s">
        <v>241</v>
      </c>
      <c r="B121" s="5">
        <v>46240</v>
      </c>
      <c r="C121" t="s">
        <v>242</v>
      </c>
      <c r="D121" t="s">
        <v>90</v>
      </c>
      <c r="E121">
        <v>2500</v>
      </c>
      <c r="F121" t="s">
        <v>72</v>
      </c>
      <c r="G121" t="s">
        <v>84</v>
      </c>
      <c r="H121" t="s">
        <v>96</v>
      </c>
      <c r="I121" t="str">
        <f t="shared" si="5"/>
        <v>2026-08</v>
      </c>
      <c r="J121" t="str">
        <f ca="1">IFERROR(_xludf.XLOOKUP(C121,'Agent Master'!$A:$A,'Agent Master'!$B:$B,"Missing"),"Missing")</f>
        <v>Missing</v>
      </c>
      <c r="K121" t="str">
        <f ca="1">IFERROR(_xludf.XLOOKUP(C121,'Agent Master'!$A:$A,'Agent Master'!$C:$C,"Missing"),"Missing")</f>
        <v>Missing</v>
      </c>
      <c r="L121" t="str">
        <f t="shared" si="6"/>
        <v>August</v>
      </c>
      <c r="M121" t="str">
        <f>_xlfn.XLOOKUP('Transaction Data'!D121,ProductMap[Product Code],ProductMap[Product Name])</f>
        <v>UPI</v>
      </c>
      <c r="N121" t="str">
        <f t="shared" si="7"/>
        <v>2026-08</v>
      </c>
      <c r="O121" t="str" cm="1">
        <f t="array" ref="O121">IFERROR(_xlfn.XLOOKUP(C121,AgentMaster[[#All],[Agent ID]],AgentMaster[[#All],[Agent Name]]),"")</f>
        <v>Agent 119</v>
      </c>
      <c r="P121">
        <f t="shared" si="8"/>
        <v>13</v>
      </c>
    </row>
    <row r="122" spans="1:16" x14ac:dyDescent="0.3">
      <c r="A122" t="s">
        <v>243</v>
      </c>
      <c r="B122" s="5">
        <v>46265</v>
      </c>
      <c r="C122" t="s">
        <v>112</v>
      </c>
      <c r="D122" t="s">
        <v>95</v>
      </c>
      <c r="E122">
        <v>2000</v>
      </c>
      <c r="F122" t="s">
        <v>72</v>
      </c>
      <c r="G122" t="s">
        <v>73</v>
      </c>
      <c r="H122" t="s">
        <v>96</v>
      </c>
      <c r="I122" t="str">
        <f t="shared" si="5"/>
        <v>2026-08</v>
      </c>
      <c r="J122" t="str">
        <f ca="1">IFERROR(_xludf.XLOOKUP(C122,'Agent Master'!$A:$A,'Agent Master'!$B:$B,"Missing"),"Missing")</f>
        <v>Missing</v>
      </c>
      <c r="K122" t="str">
        <f ca="1">IFERROR(_xludf.XLOOKUP(C122,'Agent Master'!$A:$A,'Agent Master'!$C:$C,"Missing"),"Missing")</f>
        <v>Missing</v>
      </c>
      <c r="L122" t="str">
        <f t="shared" si="6"/>
        <v>August</v>
      </c>
      <c r="M122" t="str">
        <f>_xlfn.XLOOKUP('Transaction Data'!D122,ProductMap[Product Code],ProductMap[Product Name])</f>
        <v>BBPS</v>
      </c>
      <c r="N122" t="str">
        <f t="shared" si="7"/>
        <v>2026-08</v>
      </c>
      <c r="O122" t="str" cm="1">
        <f t="array" ref="O122">IFERROR(_xlfn.XLOOKUP(C122,AgentMaster[[#All],[Agent ID]],AgentMaster[[#All],[Agent Name]]),"")</f>
        <v>Agent 136</v>
      </c>
      <c r="P122">
        <f t="shared" si="8"/>
        <v>16</v>
      </c>
    </row>
    <row r="123" spans="1:16" x14ac:dyDescent="0.3">
      <c r="A123" t="s">
        <v>244</v>
      </c>
      <c r="B123" s="5">
        <v>46257</v>
      </c>
      <c r="C123" t="s">
        <v>94</v>
      </c>
      <c r="D123" t="s">
        <v>87</v>
      </c>
      <c r="E123">
        <v>1500</v>
      </c>
      <c r="F123" t="s">
        <v>72</v>
      </c>
      <c r="G123" t="s">
        <v>73</v>
      </c>
      <c r="H123" t="s">
        <v>81</v>
      </c>
      <c r="I123" t="str">
        <f t="shared" si="5"/>
        <v>2026-08</v>
      </c>
      <c r="J123" t="str">
        <f ca="1">IFERROR(_xludf.XLOOKUP(C123,'Agent Master'!$A:$A,'Agent Master'!$B:$B,"Missing"),"Missing")</f>
        <v>Missing</v>
      </c>
      <c r="K123" t="str">
        <f ca="1">IFERROR(_xludf.XLOOKUP(C123,'Agent Master'!$A:$A,'Agent Master'!$C:$C,"Missing"),"Missing")</f>
        <v>Missing</v>
      </c>
      <c r="L123" t="str">
        <f t="shared" si="6"/>
        <v>August</v>
      </c>
      <c r="M123" t="str">
        <f>_xlfn.XLOOKUP('Transaction Data'!D123,ProductMap[Product Code],ProductMap[Product Name])</f>
        <v>APAY</v>
      </c>
      <c r="N123" t="str">
        <f t="shared" si="7"/>
        <v>2026-08</v>
      </c>
      <c r="O123" t="str" cm="1">
        <f t="array" ref="O123">IFERROR(_xlfn.XLOOKUP(C123,AgentMaster[[#All],[Agent ID]],AgentMaster[[#All],[Agent Name]]),"")</f>
        <v>Agent 130</v>
      </c>
      <c r="P123">
        <f t="shared" si="8"/>
        <v>16</v>
      </c>
    </row>
    <row r="124" spans="1:16" x14ac:dyDescent="0.3">
      <c r="A124" t="s">
        <v>245</v>
      </c>
      <c r="B124" s="5">
        <v>46281</v>
      </c>
      <c r="C124" t="s">
        <v>83</v>
      </c>
      <c r="D124" t="s">
        <v>87</v>
      </c>
      <c r="E124">
        <v>500</v>
      </c>
      <c r="F124" t="s">
        <v>72</v>
      </c>
      <c r="G124" t="s">
        <v>73</v>
      </c>
      <c r="H124" t="s">
        <v>74</v>
      </c>
      <c r="I124" t="str">
        <f t="shared" si="5"/>
        <v>2026-09</v>
      </c>
      <c r="J124" t="str">
        <f ca="1">IFERROR(_xludf.XLOOKUP(C124,'Agent Master'!$A:$A,'Agent Master'!$B:$B,"Missing"),"Missing")</f>
        <v>Missing</v>
      </c>
      <c r="K124" t="str">
        <f ca="1">IFERROR(_xludf.XLOOKUP(C124,'Agent Master'!$A:$A,'Agent Master'!$C:$C,"Missing"),"Missing")</f>
        <v>Missing</v>
      </c>
      <c r="L124" t="str">
        <f t="shared" si="6"/>
        <v>September</v>
      </c>
      <c r="M124" t="str">
        <f>_xlfn.XLOOKUP('Transaction Data'!D124,ProductMap[Product Code],ProductMap[Product Name])</f>
        <v>APAY</v>
      </c>
      <c r="N124" t="str">
        <f t="shared" si="7"/>
        <v>2026-09</v>
      </c>
      <c r="O124" t="str" cm="1">
        <f t="array" ref="O124">IFERROR(_xlfn.XLOOKUP(C124,AgentMaster[[#All],[Agent ID]],AgentMaster[[#All],[Agent Name]]),"")</f>
        <v>Agent 113</v>
      </c>
      <c r="P124">
        <f t="shared" si="8"/>
        <v>12</v>
      </c>
    </row>
    <row r="125" spans="1:16" x14ac:dyDescent="0.3">
      <c r="A125" t="s">
        <v>246</v>
      </c>
      <c r="B125" s="5">
        <v>46247</v>
      </c>
      <c r="C125" t="s">
        <v>150</v>
      </c>
      <c r="D125" t="s">
        <v>77</v>
      </c>
      <c r="E125">
        <v>5000</v>
      </c>
      <c r="F125" t="s">
        <v>72</v>
      </c>
      <c r="G125" t="s">
        <v>73</v>
      </c>
      <c r="H125" t="s">
        <v>96</v>
      </c>
      <c r="I125" t="str">
        <f t="shared" si="5"/>
        <v>2026-08</v>
      </c>
      <c r="J125" t="str">
        <f ca="1">IFERROR(_xludf.XLOOKUP(C125,'Agent Master'!$A:$A,'Agent Master'!$B:$B,"Missing"),"Missing")</f>
        <v>Missing</v>
      </c>
      <c r="K125" t="str">
        <f ca="1">IFERROR(_xludf.XLOOKUP(C125,'Agent Master'!$A:$A,'Agent Master'!$C:$C,"Missing"),"Missing")</f>
        <v>Missing</v>
      </c>
      <c r="L125" t="str">
        <f t="shared" si="6"/>
        <v>August</v>
      </c>
      <c r="M125" t="str">
        <f>_xlfn.XLOOKUP('Transaction Data'!D125,ProductMap[Product Code],ProductMap[Product Name])</f>
        <v>MATM</v>
      </c>
      <c r="N125" t="str">
        <f t="shared" si="7"/>
        <v>2026-08</v>
      </c>
      <c r="O125" t="str" cm="1">
        <f t="array" ref="O125">IFERROR(_xlfn.XLOOKUP(C125,AgentMaster[[#All],[Agent ID]],AgentMaster[[#All],[Agent Name]]),"")</f>
        <v>Agent 114</v>
      </c>
      <c r="P125">
        <f t="shared" si="8"/>
        <v>8</v>
      </c>
    </row>
    <row r="126" spans="1:16" x14ac:dyDescent="0.3">
      <c r="A126" t="s">
        <v>247</v>
      </c>
      <c r="B126" s="5">
        <v>46241</v>
      </c>
      <c r="C126" t="s">
        <v>83</v>
      </c>
      <c r="D126" t="s">
        <v>87</v>
      </c>
      <c r="E126">
        <v>1000</v>
      </c>
      <c r="F126" t="s">
        <v>72</v>
      </c>
      <c r="G126" t="s">
        <v>73</v>
      </c>
      <c r="H126" t="s">
        <v>96</v>
      </c>
      <c r="I126" t="str">
        <f t="shared" si="5"/>
        <v>2026-08</v>
      </c>
      <c r="J126" t="str">
        <f ca="1">IFERROR(_xludf.XLOOKUP(C126,'Agent Master'!$A:$A,'Agent Master'!$B:$B,"Missing"),"Missing")</f>
        <v>Missing</v>
      </c>
      <c r="K126" t="str">
        <f ca="1">IFERROR(_xludf.XLOOKUP(C126,'Agent Master'!$A:$A,'Agent Master'!$C:$C,"Missing"),"Missing")</f>
        <v>Missing</v>
      </c>
      <c r="L126" t="str">
        <f t="shared" si="6"/>
        <v>August</v>
      </c>
      <c r="M126" t="str">
        <f>_xlfn.XLOOKUP('Transaction Data'!D126,ProductMap[Product Code],ProductMap[Product Name])</f>
        <v>APAY</v>
      </c>
      <c r="N126" t="str">
        <f t="shared" si="7"/>
        <v>2026-08</v>
      </c>
      <c r="O126" t="str" cm="1">
        <f t="array" ref="O126">IFERROR(_xlfn.XLOOKUP(C126,AgentMaster[[#All],[Agent ID]],AgentMaster[[#All],[Agent Name]]),"")</f>
        <v>Agent 113</v>
      </c>
      <c r="P126">
        <f t="shared" si="8"/>
        <v>12</v>
      </c>
    </row>
    <row r="127" spans="1:16" x14ac:dyDescent="0.3">
      <c r="A127" t="s">
        <v>248</v>
      </c>
      <c r="B127" s="5">
        <v>46235</v>
      </c>
      <c r="C127" t="s">
        <v>129</v>
      </c>
      <c r="D127" t="s">
        <v>90</v>
      </c>
      <c r="E127">
        <v>1500</v>
      </c>
      <c r="F127" t="s">
        <v>72</v>
      </c>
      <c r="G127" t="s">
        <v>73</v>
      </c>
      <c r="H127" t="s">
        <v>96</v>
      </c>
      <c r="I127" t="str">
        <f t="shared" si="5"/>
        <v>2026-08</v>
      </c>
      <c r="J127" t="str">
        <f ca="1">IFERROR(_xludf.XLOOKUP(C127,'Agent Master'!$A:$A,'Agent Master'!$B:$B,"Missing"),"Missing")</f>
        <v>Missing</v>
      </c>
      <c r="K127" t="str">
        <f ca="1">IFERROR(_xludf.XLOOKUP(C127,'Agent Master'!$A:$A,'Agent Master'!$C:$C,"Missing"),"Missing")</f>
        <v>Missing</v>
      </c>
      <c r="L127" t="str">
        <f t="shared" si="6"/>
        <v>August</v>
      </c>
      <c r="M127" t="str">
        <f>_xlfn.XLOOKUP('Transaction Data'!D127,ProductMap[Product Code],ProductMap[Product Name])</f>
        <v>UPI</v>
      </c>
      <c r="N127" t="str">
        <f t="shared" si="7"/>
        <v>2026-08</v>
      </c>
      <c r="O127" t="str" cm="1">
        <f t="array" ref="O127">IFERROR(_xlfn.XLOOKUP(C127,AgentMaster[[#All],[Agent ID]],AgentMaster[[#All],[Agent Name]]),"")</f>
        <v>Agent 135</v>
      </c>
      <c r="P127">
        <f t="shared" si="8"/>
        <v>19</v>
      </c>
    </row>
    <row r="128" spans="1:16" x14ac:dyDescent="0.3">
      <c r="A128" t="s">
        <v>249</v>
      </c>
      <c r="B128" s="5">
        <v>46279</v>
      </c>
      <c r="C128" t="s">
        <v>161</v>
      </c>
      <c r="D128" t="s">
        <v>77</v>
      </c>
      <c r="E128">
        <v>20000</v>
      </c>
      <c r="F128" t="s">
        <v>72</v>
      </c>
      <c r="G128" t="s">
        <v>73</v>
      </c>
      <c r="H128" t="s">
        <v>81</v>
      </c>
      <c r="I128" t="str">
        <f t="shared" si="5"/>
        <v>2026-09</v>
      </c>
      <c r="J128" t="str">
        <f ca="1">IFERROR(_xludf.XLOOKUP(C128,'Agent Master'!$A:$A,'Agent Master'!$B:$B,"Missing"),"Missing")</f>
        <v>Missing</v>
      </c>
      <c r="K128" t="str">
        <f ca="1">IFERROR(_xludf.XLOOKUP(C128,'Agent Master'!$A:$A,'Agent Master'!$C:$C,"Missing"),"Missing")</f>
        <v>Missing</v>
      </c>
      <c r="L128" t="str">
        <f t="shared" si="6"/>
        <v>September</v>
      </c>
      <c r="M128" t="str">
        <f>_xlfn.XLOOKUP('Transaction Data'!D128,ProductMap[Product Code],ProductMap[Product Name])</f>
        <v>MATM</v>
      </c>
      <c r="N128" t="str">
        <f t="shared" si="7"/>
        <v>2026-09</v>
      </c>
      <c r="O128" t="str" cm="1">
        <f t="array" ref="O128">IFERROR(_xlfn.XLOOKUP(C128,AgentMaster[[#All],[Agent ID]],AgentMaster[[#All],[Agent Name]]),"")</f>
        <v>Agent 109</v>
      </c>
      <c r="P128">
        <f t="shared" si="8"/>
        <v>16</v>
      </c>
    </row>
    <row r="129" spans="1:16" x14ac:dyDescent="0.3">
      <c r="A129" t="s">
        <v>250</v>
      </c>
      <c r="B129" s="5">
        <v>46271</v>
      </c>
      <c r="C129" t="s">
        <v>242</v>
      </c>
      <c r="D129" t="s">
        <v>110</v>
      </c>
      <c r="E129">
        <v>5000</v>
      </c>
      <c r="F129" t="s">
        <v>72</v>
      </c>
      <c r="G129" t="s">
        <v>84</v>
      </c>
      <c r="H129" t="s">
        <v>74</v>
      </c>
      <c r="I129" t="str">
        <f t="shared" si="5"/>
        <v>2026-09</v>
      </c>
      <c r="J129" t="str">
        <f ca="1">IFERROR(_xludf.XLOOKUP(C129,'Agent Master'!$A:$A,'Agent Master'!$B:$B,"Missing"),"Missing")</f>
        <v>Missing</v>
      </c>
      <c r="K129" t="str">
        <f ca="1">IFERROR(_xludf.XLOOKUP(C129,'Agent Master'!$A:$A,'Agent Master'!$C:$C,"Missing"),"Missing")</f>
        <v>Missing</v>
      </c>
      <c r="L129" t="str">
        <f t="shared" si="6"/>
        <v>September</v>
      </c>
      <c r="M129" t="str">
        <f>_xlfn.XLOOKUP('Transaction Data'!D129,ProductMap[Product Code],ProductMap[Product Name])</f>
        <v>DMT</v>
      </c>
      <c r="N129" t="str">
        <f t="shared" si="7"/>
        <v>2026-09</v>
      </c>
      <c r="O129" t="str" cm="1">
        <f t="array" ref="O129">IFERROR(_xlfn.XLOOKUP(C129,AgentMaster[[#All],[Agent ID]],AgentMaster[[#All],[Agent Name]]),"")</f>
        <v>Agent 119</v>
      </c>
      <c r="P129">
        <f t="shared" si="8"/>
        <v>13</v>
      </c>
    </row>
    <row r="130" spans="1:16" x14ac:dyDescent="0.3">
      <c r="A130" t="s">
        <v>251</v>
      </c>
      <c r="B130" s="5">
        <v>46238</v>
      </c>
      <c r="C130" t="s">
        <v>159</v>
      </c>
      <c r="D130" t="s">
        <v>110</v>
      </c>
      <c r="E130">
        <v>500</v>
      </c>
      <c r="F130" t="s">
        <v>72</v>
      </c>
      <c r="G130" t="s">
        <v>84</v>
      </c>
      <c r="H130" t="s">
        <v>78</v>
      </c>
      <c r="I130" t="str">
        <f t="shared" ref="I130:I193" si="9">TEXT(B130,"yyyy-mm")</f>
        <v>2026-08</v>
      </c>
      <c r="J130" t="str">
        <f ca="1">IFERROR(_xludf.XLOOKUP(C130,'Agent Master'!$A:$A,'Agent Master'!$B:$B,"Missing"),"Missing")</f>
        <v>Missing</v>
      </c>
      <c r="K130" t="str">
        <f ca="1">IFERROR(_xludf.XLOOKUP(C130,'Agent Master'!$A:$A,'Agent Master'!$C:$C,"Missing"),"Missing")</f>
        <v>Missing</v>
      </c>
      <c r="L130" t="str">
        <f t="shared" si="6"/>
        <v>August</v>
      </c>
      <c r="M130" t="str">
        <f>_xlfn.XLOOKUP('Transaction Data'!D130,ProductMap[Product Code],ProductMap[Product Name])</f>
        <v>DMT</v>
      </c>
      <c r="N130" t="str">
        <f t="shared" si="7"/>
        <v>2026-08</v>
      </c>
      <c r="O130" t="str" cm="1">
        <f t="array" ref="O130">IFERROR(_xlfn.XLOOKUP(C130,AgentMaster[[#All],[Agent ID]],AgentMaster[[#All],[Agent Name]]),"")</f>
        <v>Agent 117</v>
      </c>
      <c r="P130">
        <f t="shared" si="8"/>
        <v>12</v>
      </c>
    </row>
    <row r="131" spans="1:16" x14ac:dyDescent="0.3">
      <c r="A131" t="s">
        <v>252</v>
      </c>
      <c r="B131" s="5">
        <v>46239</v>
      </c>
      <c r="C131" t="s">
        <v>125</v>
      </c>
      <c r="D131" t="s">
        <v>77</v>
      </c>
      <c r="E131">
        <v>12500</v>
      </c>
      <c r="F131" t="s">
        <v>72</v>
      </c>
      <c r="G131" t="s">
        <v>73</v>
      </c>
      <c r="H131" t="s">
        <v>74</v>
      </c>
      <c r="I131" t="str">
        <f t="shared" si="9"/>
        <v>2026-08</v>
      </c>
      <c r="J131" t="str">
        <f ca="1">IFERROR(_xludf.XLOOKUP(C131,'Agent Master'!$A:$A,'Agent Master'!$B:$B,"Missing"),"Missing")</f>
        <v>Missing</v>
      </c>
      <c r="K131" t="str">
        <f ca="1">IFERROR(_xludf.XLOOKUP(C131,'Agent Master'!$A:$A,'Agent Master'!$C:$C,"Missing"),"Missing")</f>
        <v>Missing</v>
      </c>
      <c r="L131" t="str">
        <f t="shared" ref="L131:L194" si="10">TEXT(B131,"mmmm")</f>
        <v>August</v>
      </c>
      <c r="M131" t="str">
        <f>_xlfn.XLOOKUP('Transaction Data'!D131,ProductMap[Product Code],ProductMap[Product Name])</f>
        <v>MATM</v>
      </c>
      <c r="N131" t="str">
        <f t="shared" ref="N131:N194" si="11">TEXT(B131,"yyyy-mm")</f>
        <v>2026-08</v>
      </c>
      <c r="O131" t="str" cm="1">
        <f t="array" ref="O131">IFERROR(_xlfn.XLOOKUP(C131,AgentMaster[[#All],[Agent ID]],AgentMaster[[#All],[Agent Name]]),"")</f>
        <v>Agent 137</v>
      </c>
      <c r="P131">
        <f t="shared" ref="P131:P194" si="12">COUNTIFS(O:O,O131,F:F,"Success")</f>
        <v>11</v>
      </c>
    </row>
    <row r="132" spans="1:16" x14ac:dyDescent="0.3">
      <c r="A132" t="s">
        <v>253</v>
      </c>
      <c r="B132" s="5">
        <v>46286</v>
      </c>
      <c r="C132" t="s">
        <v>125</v>
      </c>
      <c r="D132" t="s">
        <v>87</v>
      </c>
      <c r="E132">
        <v>500</v>
      </c>
      <c r="F132" t="s">
        <v>72</v>
      </c>
      <c r="G132" t="s">
        <v>73</v>
      </c>
      <c r="H132" t="s">
        <v>78</v>
      </c>
      <c r="I132" t="str">
        <f t="shared" si="9"/>
        <v>2026-09</v>
      </c>
      <c r="J132" t="str">
        <f ca="1">IFERROR(_xludf.XLOOKUP(C132,'Agent Master'!$A:$A,'Agent Master'!$B:$B,"Missing"),"Missing")</f>
        <v>Missing</v>
      </c>
      <c r="K132" t="str">
        <f ca="1">IFERROR(_xludf.XLOOKUP(C132,'Agent Master'!$A:$A,'Agent Master'!$C:$C,"Missing"),"Missing")</f>
        <v>Missing</v>
      </c>
      <c r="L132" t="str">
        <f t="shared" si="10"/>
        <v>September</v>
      </c>
      <c r="M132" t="str">
        <f>_xlfn.XLOOKUP('Transaction Data'!D132,ProductMap[Product Code],ProductMap[Product Name])</f>
        <v>APAY</v>
      </c>
      <c r="N132" t="str">
        <f t="shared" si="11"/>
        <v>2026-09</v>
      </c>
      <c r="O132" t="str" cm="1">
        <f t="array" ref="O132">IFERROR(_xlfn.XLOOKUP(C132,AgentMaster[[#All],[Agent ID]],AgentMaster[[#All],[Agent Name]]),"")</f>
        <v>Agent 137</v>
      </c>
      <c r="P132">
        <f t="shared" si="12"/>
        <v>11</v>
      </c>
    </row>
    <row r="133" spans="1:16" x14ac:dyDescent="0.3">
      <c r="A133" t="s">
        <v>254</v>
      </c>
      <c r="B133" s="5">
        <v>46273</v>
      </c>
      <c r="C133" t="s">
        <v>255</v>
      </c>
      <c r="D133" t="s">
        <v>95</v>
      </c>
      <c r="E133">
        <v>1000</v>
      </c>
      <c r="F133" t="s">
        <v>72</v>
      </c>
      <c r="G133" t="s">
        <v>84</v>
      </c>
      <c r="H133" t="s">
        <v>78</v>
      </c>
      <c r="I133" t="str">
        <f t="shared" si="9"/>
        <v>2026-09</v>
      </c>
      <c r="J133" t="str">
        <f ca="1">IFERROR(_xludf.XLOOKUP(C133,'Agent Master'!$A:$A,'Agent Master'!$B:$B,"Missing"),"Missing")</f>
        <v>Missing</v>
      </c>
      <c r="K133" t="str">
        <f ca="1">IFERROR(_xludf.XLOOKUP(C133,'Agent Master'!$A:$A,'Agent Master'!$C:$C,"Missing"),"Missing")</f>
        <v>Missing</v>
      </c>
      <c r="L133" t="str">
        <f t="shared" si="10"/>
        <v>September</v>
      </c>
      <c r="M133" t="str">
        <f>_xlfn.XLOOKUP('Transaction Data'!D133,ProductMap[Product Code],ProductMap[Product Name])</f>
        <v>BBPS</v>
      </c>
      <c r="N133" t="str">
        <f t="shared" si="11"/>
        <v>2026-09</v>
      </c>
      <c r="O133" t="str" cm="1">
        <f t="array" ref="O133">IFERROR(_xlfn.XLOOKUP(C133,AgentMaster[[#All],[Agent ID]],AgentMaster[[#All],[Agent Name]]),"")</f>
        <v>Agent 139</v>
      </c>
      <c r="P133">
        <f t="shared" si="12"/>
        <v>10</v>
      </c>
    </row>
    <row r="134" spans="1:16" x14ac:dyDescent="0.3">
      <c r="A134" t="s">
        <v>256</v>
      </c>
      <c r="B134" s="5">
        <v>46293</v>
      </c>
      <c r="C134" t="s">
        <v>172</v>
      </c>
      <c r="D134" t="s">
        <v>87</v>
      </c>
      <c r="E134">
        <v>10000</v>
      </c>
      <c r="F134" t="s">
        <v>72</v>
      </c>
      <c r="G134" t="s">
        <v>84</v>
      </c>
      <c r="H134" t="s">
        <v>81</v>
      </c>
      <c r="I134" t="str">
        <f t="shared" si="9"/>
        <v>2026-09</v>
      </c>
      <c r="J134" t="str">
        <f ca="1">IFERROR(_xludf.XLOOKUP(C134,'Agent Master'!$A:$A,'Agent Master'!$B:$B,"Missing"),"Missing")</f>
        <v>Missing</v>
      </c>
      <c r="K134" t="str">
        <f ca="1">IFERROR(_xludf.XLOOKUP(C134,'Agent Master'!$A:$A,'Agent Master'!$C:$C,"Missing"),"Missing")</f>
        <v>Missing</v>
      </c>
      <c r="L134" t="str">
        <f t="shared" si="10"/>
        <v>September</v>
      </c>
      <c r="M134" t="str">
        <f>_xlfn.XLOOKUP('Transaction Data'!D134,ProductMap[Product Code],ProductMap[Product Name])</f>
        <v>APAY</v>
      </c>
      <c r="N134" t="str">
        <f t="shared" si="11"/>
        <v>2026-09</v>
      </c>
      <c r="O134" t="str" cm="1">
        <f t="array" ref="O134">IFERROR(_xlfn.XLOOKUP(C134,AgentMaster[[#All],[Agent ID]],AgentMaster[[#All],[Agent Name]]),"")</f>
        <v>Agent 129</v>
      </c>
      <c r="P134">
        <f t="shared" si="12"/>
        <v>18</v>
      </c>
    </row>
    <row r="135" spans="1:16" x14ac:dyDescent="0.3">
      <c r="A135" t="s">
        <v>257</v>
      </c>
      <c r="B135" s="5">
        <v>46274</v>
      </c>
      <c r="C135" t="s">
        <v>76</v>
      </c>
      <c r="D135" t="s">
        <v>90</v>
      </c>
      <c r="E135">
        <v>12500</v>
      </c>
      <c r="F135" t="s">
        <v>72</v>
      </c>
      <c r="G135" t="s">
        <v>84</v>
      </c>
      <c r="H135" t="s">
        <v>81</v>
      </c>
      <c r="I135" t="str">
        <f t="shared" si="9"/>
        <v>2026-09</v>
      </c>
      <c r="J135" t="str">
        <f ca="1">IFERROR(_xludf.XLOOKUP(C135,'Agent Master'!$A:$A,'Agent Master'!$B:$B,"Missing"),"Missing")</f>
        <v>Missing</v>
      </c>
      <c r="K135" t="str">
        <f ca="1">IFERROR(_xludf.XLOOKUP(C135,'Agent Master'!$A:$A,'Agent Master'!$C:$C,"Missing"),"Missing")</f>
        <v>Missing</v>
      </c>
      <c r="L135" t="str">
        <f t="shared" si="10"/>
        <v>September</v>
      </c>
      <c r="M135" t="str">
        <f>_xlfn.XLOOKUP('Transaction Data'!D135,ProductMap[Product Code],ProductMap[Product Name])</f>
        <v>UPI</v>
      </c>
      <c r="N135" t="str">
        <f t="shared" si="11"/>
        <v>2026-09</v>
      </c>
      <c r="O135" t="str" cm="1">
        <f t="array" ref="O135">IFERROR(_xlfn.XLOOKUP(C135,AgentMaster[[#All],[Agent ID]],AgentMaster[[#All],[Agent Name]]),"")</f>
        <v>Agent 107</v>
      </c>
      <c r="P135">
        <f t="shared" si="12"/>
        <v>16</v>
      </c>
    </row>
    <row r="136" spans="1:16" x14ac:dyDescent="0.3">
      <c r="A136" t="s">
        <v>258</v>
      </c>
      <c r="B136" s="5">
        <v>46245</v>
      </c>
      <c r="C136" t="s">
        <v>104</v>
      </c>
      <c r="D136" t="s">
        <v>90</v>
      </c>
      <c r="E136">
        <v>7500</v>
      </c>
      <c r="F136" t="s">
        <v>72</v>
      </c>
      <c r="G136" t="s">
        <v>73</v>
      </c>
      <c r="H136" t="s">
        <v>81</v>
      </c>
      <c r="I136" t="str">
        <f t="shared" si="9"/>
        <v>2026-08</v>
      </c>
      <c r="J136" t="str">
        <f ca="1">IFERROR(_xludf.XLOOKUP(C136,'Agent Master'!$A:$A,'Agent Master'!$B:$B,"Missing"),"Missing")</f>
        <v>Missing</v>
      </c>
      <c r="K136" t="str">
        <f ca="1">IFERROR(_xludf.XLOOKUP(C136,'Agent Master'!$A:$A,'Agent Master'!$C:$C,"Missing"),"Missing")</f>
        <v>Missing</v>
      </c>
      <c r="L136" t="str">
        <f t="shared" si="10"/>
        <v>August</v>
      </c>
      <c r="M136" t="str">
        <f>_xlfn.XLOOKUP('Transaction Data'!D136,ProductMap[Product Code],ProductMap[Product Name])</f>
        <v>UPI</v>
      </c>
      <c r="N136" t="str">
        <f t="shared" si="11"/>
        <v>2026-08</v>
      </c>
      <c r="O136" t="str" cm="1">
        <f t="array" ref="O136">IFERROR(_xlfn.XLOOKUP(C136,AgentMaster[[#All],[Agent ID]],AgentMaster[[#All],[Agent Name]]),"")</f>
        <v>Agent 116</v>
      </c>
      <c r="P136">
        <f t="shared" si="12"/>
        <v>15</v>
      </c>
    </row>
    <row r="137" spans="1:16" x14ac:dyDescent="0.3">
      <c r="A137" t="s">
        <v>259</v>
      </c>
      <c r="B137" s="5">
        <v>46261</v>
      </c>
      <c r="C137" t="s">
        <v>172</v>
      </c>
      <c r="D137" t="s">
        <v>77</v>
      </c>
      <c r="E137">
        <v>10000</v>
      </c>
      <c r="F137" t="s">
        <v>72</v>
      </c>
      <c r="G137" t="s">
        <v>84</v>
      </c>
      <c r="H137" t="s">
        <v>81</v>
      </c>
      <c r="I137" t="str">
        <f t="shared" si="9"/>
        <v>2026-08</v>
      </c>
      <c r="J137" t="str">
        <f ca="1">IFERROR(_xludf.XLOOKUP(C137,'Agent Master'!$A:$A,'Agent Master'!$B:$B,"Missing"),"Missing")</f>
        <v>Missing</v>
      </c>
      <c r="K137" t="str">
        <f ca="1">IFERROR(_xludf.XLOOKUP(C137,'Agent Master'!$A:$A,'Agent Master'!$C:$C,"Missing"),"Missing")</f>
        <v>Missing</v>
      </c>
      <c r="L137" t="str">
        <f t="shared" si="10"/>
        <v>August</v>
      </c>
      <c r="M137" t="str">
        <f>_xlfn.XLOOKUP('Transaction Data'!D137,ProductMap[Product Code],ProductMap[Product Name])</f>
        <v>MATM</v>
      </c>
      <c r="N137" t="str">
        <f t="shared" si="11"/>
        <v>2026-08</v>
      </c>
      <c r="O137" t="str" cm="1">
        <f t="array" ref="O137">IFERROR(_xlfn.XLOOKUP(C137,AgentMaster[[#All],[Agent ID]],AgentMaster[[#All],[Agent Name]]),"")</f>
        <v>Agent 129</v>
      </c>
      <c r="P137">
        <f t="shared" si="12"/>
        <v>18</v>
      </c>
    </row>
    <row r="138" spans="1:16" x14ac:dyDescent="0.3">
      <c r="A138" t="s">
        <v>260</v>
      </c>
      <c r="B138" s="5">
        <v>46249</v>
      </c>
      <c r="C138" t="s">
        <v>242</v>
      </c>
      <c r="D138" t="s">
        <v>77</v>
      </c>
      <c r="E138">
        <v>1500</v>
      </c>
      <c r="F138" t="s">
        <v>72</v>
      </c>
      <c r="G138" t="s">
        <v>73</v>
      </c>
      <c r="H138" t="s">
        <v>74</v>
      </c>
      <c r="I138" t="str">
        <f t="shared" si="9"/>
        <v>2026-08</v>
      </c>
      <c r="J138" t="str">
        <f ca="1">IFERROR(_xludf.XLOOKUP(C138,'Agent Master'!$A:$A,'Agent Master'!$B:$B,"Missing"),"Missing")</f>
        <v>Missing</v>
      </c>
      <c r="K138" t="str">
        <f ca="1">IFERROR(_xludf.XLOOKUP(C138,'Agent Master'!$A:$A,'Agent Master'!$C:$C,"Missing"),"Missing")</f>
        <v>Missing</v>
      </c>
      <c r="L138" t="str">
        <f t="shared" si="10"/>
        <v>August</v>
      </c>
      <c r="M138" t="str">
        <f>_xlfn.XLOOKUP('Transaction Data'!D138,ProductMap[Product Code],ProductMap[Product Name])</f>
        <v>MATM</v>
      </c>
      <c r="N138" t="str">
        <f t="shared" si="11"/>
        <v>2026-08</v>
      </c>
      <c r="O138" t="str" cm="1">
        <f t="array" ref="O138">IFERROR(_xlfn.XLOOKUP(C138,AgentMaster[[#All],[Agent ID]],AgentMaster[[#All],[Agent Name]]),"")</f>
        <v>Agent 119</v>
      </c>
      <c r="P138">
        <f t="shared" si="12"/>
        <v>13</v>
      </c>
    </row>
    <row r="139" spans="1:16" x14ac:dyDescent="0.3">
      <c r="A139" t="s">
        <v>261</v>
      </c>
      <c r="B139" s="5">
        <v>46294</v>
      </c>
      <c r="C139" t="s">
        <v>159</v>
      </c>
      <c r="D139" t="s">
        <v>77</v>
      </c>
      <c r="E139">
        <v>10000</v>
      </c>
      <c r="F139" t="s">
        <v>72</v>
      </c>
      <c r="G139" t="s">
        <v>84</v>
      </c>
      <c r="H139" t="s">
        <v>81</v>
      </c>
      <c r="I139" t="str">
        <f t="shared" si="9"/>
        <v>2026-09</v>
      </c>
      <c r="J139" t="str">
        <f ca="1">IFERROR(_xludf.XLOOKUP(C139,'Agent Master'!$A:$A,'Agent Master'!$B:$B,"Missing"),"Missing")</f>
        <v>Missing</v>
      </c>
      <c r="K139" t="str">
        <f ca="1">IFERROR(_xludf.XLOOKUP(C139,'Agent Master'!$A:$A,'Agent Master'!$C:$C,"Missing"),"Missing")</f>
        <v>Missing</v>
      </c>
      <c r="L139" t="str">
        <f t="shared" si="10"/>
        <v>September</v>
      </c>
      <c r="M139" t="str">
        <f>_xlfn.XLOOKUP('Transaction Data'!D139,ProductMap[Product Code],ProductMap[Product Name])</f>
        <v>MATM</v>
      </c>
      <c r="N139" t="str">
        <f t="shared" si="11"/>
        <v>2026-09</v>
      </c>
      <c r="O139" t="str" cm="1">
        <f t="array" ref="O139">IFERROR(_xlfn.XLOOKUP(C139,AgentMaster[[#All],[Agent ID]],AgentMaster[[#All],[Agent Name]]),"")</f>
        <v>Agent 117</v>
      </c>
      <c r="P139">
        <f t="shared" si="12"/>
        <v>12</v>
      </c>
    </row>
    <row r="140" spans="1:16" x14ac:dyDescent="0.3">
      <c r="A140" t="s">
        <v>262</v>
      </c>
      <c r="B140" s="5">
        <v>46269</v>
      </c>
      <c r="C140" t="s">
        <v>100</v>
      </c>
      <c r="D140" t="s">
        <v>77</v>
      </c>
      <c r="E140">
        <v>750</v>
      </c>
      <c r="F140" t="s">
        <v>72</v>
      </c>
      <c r="G140" t="s">
        <v>73</v>
      </c>
      <c r="H140" t="s">
        <v>81</v>
      </c>
      <c r="I140" t="str">
        <f t="shared" si="9"/>
        <v>2026-09</v>
      </c>
      <c r="J140" t="str">
        <f ca="1">IFERROR(_xludf.XLOOKUP(C140,'Agent Master'!$A:$A,'Agent Master'!$B:$B,"Missing"),"Missing")</f>
        <v>Missing</v>
      </c>
      <c r="K140" t="str">
        <f ca="1">IFERROR(_xludf.XLOOKUP(C140,'Agent Master'!$A:$A,'Agent Master'!$C:$C,"Missing"),"Missing")</f>
        <v>Missing</v>
      </c>
      <c r="L140" t="str">
        <f t="shared" si="10"/>
        <v>September</v>
      </c>
      <c r="M140" t="str">
        <f>_xlfn.XLOOKUP('Transaction Data'!D140,ProductMap[Product Code],ProductMap[Product Name])</f>
        <v>MATM</v>
      </c>
      <c r="N140" t="str">
        <f t="shared" si="11"/>
        <v>2026-09</v>
      </c>
      <c r="O140" t="str" cm="1">
        <f t="array" ref="O140">IFERROR(_xlfn.XLOOKUP(C140,AgentMaster[[#All],[Agent ID]],AgentMaster[[#All],[Agent Name]]),"")</f>
        <v>Agent 115</v>
      </c>
      <c r="P140">
        <f t="shared" si="12"/>
        <v>11</v>
      </c>
    </row>
    <row r="141" spans="1:16" x14ac:dyDescent="0.3">
      <c r="A141" t="s">
        <v>263</v>
      </c>
      <c r="B141" s="5">
        <v>46238</v>
      </c>
      <c r="C141" t="s">
        <v>199</v>
      </c>
      <c r="D141" t="s">
        <v>87</v>
      </c>
      <c r="E141">
        <v>10000</v>
      </c>
      <c r="F141" t="s">
        <v>92</v>
      </c>
      <c r="G141" t="s">
        <v>84</v>
      </c>
      <c r="H141" t="s">
        <v>78</v>
      </c>
      <c r="I141" t="str">
        <f t="shared" si="9"/>
        <v>2026-08</v>
      </c>
      <c r="J141" t="str">
        <f ca="1">IFERROR(_xludf.XLOOKUP(C141,'Agent Master'!$A:$A,'Agent Master'!$B:$B,"Missing"),"Missing")</f>
        <v>Missing</v>
      </c>
      <c r="K141" t="str">
        <f ca="1">IFERROR(_xludf.XLOOKUP(C141,'Agent Master'!$A:$A,'Agent Master'!$C:$C,"Missing"),"Missing")</f>
        <v>Missing</v>
      </c>
      <c r="L141" t="str">
        <f t="shared" si="10"/>
        <v>August</v>
      </c>
      <c r="M141" t="str">
        <f>_xlfn.XLOOKUP('Transaction Data'!D141,ProductMap[Product Code],ProductMap[Product Name])</f>
        <v>APAY</v>
      </c>
      <c r="N141" t="str">
        <f t="shared" si="11"/>
        <v>2026-08</v>
      </c>
      <c r="O141" t="str" cm="1">
        <f t="array" ref="O141">IFERROR(_xlfn.XLOOKUP(C141,AgentMaster[[#All],[Agent ID]],AgentMaster[[#All],[Agent Name]]),"")</f>
        <v>Agent 111</v>
      </c>
      <c r="P141">
        <f t="shared" si="12"/>
        <v>8</v>
      </c>
    </row>
    <row r="142" spans="1:16" x14ac:dyDescent="0.3">
      <c r="A142" t="s">
        <v>264</v>
      </c>
      <c r="B142" s="5">
        <v>46242</v>
      </c>
      <c r="C142" t="s">
        <v>94</v>
      </c>
      <c r="D142" t="s">
        <v>77</v>
      </c>
      <c r="E142">
        <v>1500</v>
      </c>
      <c r="F142" t="s">
        <v>72</v>
      </c>
      <c r="G142" t="s">
        <v>84</v>
      </c>
      <c r="H142" t="s">
        <v>78</v>
      </c>
      <c r="I142" t="str">
        <f t="shared" si="9"/>
        <v>2026-08</v>
      </c>
      <c r="J142" t="str">
        <f ca="1">IFERROR(_xludf.XLOOKUP(C142,'Agent Master'!$A:$A,'Agent Master'!$B:$B,"Missing"),"Missing")</f>
        <v>Missing</v>
      </c>
      <c r="K142" t="str">
        <f ca="1">IFERROR(_xludf.XLOOKUP(C142,'Agent Master'!$A:$A,'Agent Master'!$C:$C,"Missing"),"Missing")</f>
        <v>Missing</v>
      </c>
      <c r="L142" t="str">
        <f t="shared" si="10"/>
        <v>August</v>
      </c>
      <c r="M142" t="str">
        <f>_xlfn.XLOOKUP('Transaction Data'!D142,ProductMap[Product Code],ProductMap[Product Name])</f>
        <v>MATM</v>
      </c>
      <c r="N142" t="str">
        <f t="shared" si="11"/>
        <v>2026-08</v>
      </c>
      <c r="O142" t="str" cm="1">
        <f t="array" ref="O142">IFERROR(_xlfn.XLOOKUP(C142,AgentMaster[[#All],[Agent ID]],AgentMaster[[#All],[Agent Name]]),"")</f>
        <v>Agent 130</v>
      </c>
      <c r="P142">
        <f t="shared" si="12"/>
        <v>16</v>
      </c>
    </row>
    <row r="143" spans="1:16" x14ac:dyDescent="0.3">
      <c r="A143" t="s">
        <v>265</v>
      </c>
      <c r="B143" s="5">
        <v>46263</v>
      </c>
      <c r="C143" t="s">
        <v>157</v>
      </c>
      <c r="D143" t="s">
        <v>95</v>
      </c>
      <c r="E143">
        <v>250</v>
      </c>
      <c r="F143" t="s">
        <v>72</v>
      </c>
      <c r="G143" t="s">
        <v>73</v>
      </c>
      <c r="H143" t="s">
        <v>96</v>
      </c>
      <c r="I143" t="str">
        <f t="shared" si="9"/>
        <v>2026-08</v>
      </c>
      <c r="J143" t="str">
        <f ca="1">IFERROR(_xludf.XLOOKUP(C143,'Agent Master'!$A:$A,'Agent Master'!$B:$B,"Missing"),"Missing")</f>
        <v>Missing</v>
      </c>
      <c r="K143" t="str">
        <f ca="1">IFERROR(_xludf.XLOOKUP(C143,'Agent Master'!$A:$A,'Agent Master'!$C:$C,"Missing"),"Missing")</f>
        <v>Missing</v>
      </c>
      <c r="L143" t="str">
        <f t="shared" si="10"/>
        <v>August</v>
      </c>
      <c r="M143" t="str">
        <f>_xlfn.XLOOKUP('Transaction Data'!D143,ProductMap[Product Code],ProductMap[Product Name])</f>
        <v>BBPS</v>
      </c>
      <c r="N143" t="str">
        <f t="shared" si="11"/>
        <v>2026-08</v>
      </c>
      <c r="O143" t="str" cm="1">
        <f t="array" ref="O143">IFERROR(_xlfn.XLOOKUP(C143,AgentMaster[[#All],[Agent ID]],AgentMaster[[#All],[Agent Name]]),"")</f>
        <v>Agent 106</v>
      </c>
      <c r="P143">
        <f t="shared" si="12"/>
        <v>8</v>
      </c>
    </row>
    <row r="144" spans="1:16" x14ac:dyDescent="0.3">
      <c r="A144" t="s">
        <v>266</v>
      </c>
      <c r="B144" s="5">
        <v>46273</v>
      </c>
      <c r="C144" t="s">
        <v>159</v>
      </c>
      <c r="D144" t="s">
        <v>71</v>
      </c>
      <c r="E144">
        <v>500</v>
      </c>
      <c r="F144" t="s">
        <v>72</v>
      </c>
      <c r="G144" t="s">
        <v>73</v>
      </c>
      <c r="H144" t="s">
        <v>81</v>
      </c>
      <c r="I144" t="str">
        <f t="shared" si="9"/>
        <v>2026-09</v>
      </c>
      <c r="J144" t="str">
        <f ca="1">IFERROR(_xludf.XLOOKUP(C144,'Agent Master'!$A:$A,'Agent Master'!$B:$B,"Missing"),"Missing")</f>
        <v>Missing</v>
      </c>
      <c r="K144" t="str">
        <f ca="1">IFERROR(_xludf.XLOOKUP(C144,'Agent Master'!$A:$A,'Agent Master'!$C:$C,"Missing"),"Missing")</f>
        <v>Missing</v>
      </c>
      <c r="L144" t="str">
        <f t="shared" si="10"/>
        <v>September</v>
      </c>
      <c r="M144" t="str">
        <f>_xlfn.XLOOKUP('Transaction Data'!D144,ProductMap[Product Code],ProductMap[Product Name])</f>
        <v>AEPS</v>
      </c>
      <c r="N144" t="str">
        <f t="shared" si="11"/>
        <v>2026-09</v>
      </c>
      <c r="O144" t="str" cm="1">
        <f t="array" ref="O144">IFERROR(_xlfn.XLOOKUP(C144,AgentMaster[[#All],[Agent ID]],AgentMaster[[#All],[Agent Name]]),"")</f>
        <v>Agent 117</v>
      </c>
      <c r="P144">
        <f t="shared" si="12"/>
        <v>12</v>
      </c>
    </row>
    <row r="145" spans="1:16" x14ac:dyDescent="0.3">
      <c r="A145" t="s">
        <v>267</v>
      </c>
      <c r="B145" s="5">
        <v>46283</v>
      </c>
      <c r="C145" t="s">
        <v>89</v>
      </c>
      <c r="D145" t="s">
        <v>95</v>
      </c>
      <c r="E145">
        <v>250</v>
      </c>
      <c r="F145" t="s">
        <v>72</v>
      </c>
      <c r="G145" t="s">
        <v>84</v>
      </c>
      <c r="H145" t="s">
        <v>78</v>
      </c>
      <c r="I145" t="str">
        <f t="shared" si="9"/>
        <v>2026-09</v>
      </c>
      <c r="J145" t="str">
        <f ca="1">IFERROR(_xludf.XLOOKUP(C145,'Agent Master'!$A:$A,'Agent Master'!$B:$B,"Missing"),"Missing")</f>
        <v>Missing</v>
      </c>
      <c r="K145" t="str">
        <f ca="1">IFERROR(_xludf.XLOOKUP(C145,'Agent Master'!$A:$A,'Agent Master'!$C:$C,"Missing"),"Missing")</f>
        <v>Missing</v>
      </c>
      <c r="L145" t="str">
        <f t="shared" si="10"/>
        <v>September</v>
      </c>
      <c r="M145" t="str">
        <f>_xlfn.XLOOKUP('Transaction Data'!D145,ProductMap[Product Code],ProductMap[Product Name])</f>
        <v>BBPS</v>
      </c>
      <c r="N145" t="str">
        <f t="shared" si="11"/>
        <v>2026-09</v>
      </c>
      <c r="O145" t="str" cm="1">
        <f t="array" ref="O145">IFERROR(_xlfn.XLOOKUP(C145,AgentMaster[[#All],[Agent ID]],AgentMaster[[#All],[Agent Name]]),"")</f>
        <v>Agent 118</v>
      </c>
      <c r="P145">
        <f t="shared" si="12"/>
        <v>11</v>
      </c>
    </row>
    <row r="146" spans="1:16" x14ac:dyDescent="0.3">
      <c r="A146" t="s">
        <v>268</v>
      </c>
      <c r="B146" s="5">
        <v>46293</v>
      </c>
      <c r="C146" t="s">
        <v>89</v>
      </c>
      <c r="D146" t="s">
        <v>90</v>
      </c>
      <c r="E146">
        <v>10000</v>
      </c>
      <c r="F146" t="s">
        <v>72</v>
      </c>
      <c r="G146" t="s">
        <v>73</v>
      </c>
      <c r="H146" t="s">
        <v>78</v>
      </c>
      <c r="I146" t="str">
        <f t="shared" si="9"/>
        <v>2026-09</v>
      </c>
      <c r="J146" t="str">
        <f ca="1">IFERROR(_xludf.XLOOKUP(C146,'Agent Master'!$A:$A,'Agent Master'!$B:$B,"Missing"),"Missing")</f>
        <v>Missing</v>
      </c>
      <c r="K146" t="str">
        <f ca="1">IFERROR(_xludf.XLOOKUP(C146,'Agent Master'!$A:$A,'Agent Master'!$C:$C,"Missing"),"Missing")</f>
        <v>Missing</v>
      </c>
      <c r="L146" t="str">
        <f t="shared" si="10"/>
        <v>September</v>
      </c>
      <c r="M146" t="str">
        <f>_xlfn.XLOOKUP('Transaction Data'!D146,ProductMap[Product Code],ProductMap[Product Name])</f>
        <v>UPI</v>
      </c>
      <c r="N146" t="str">
        <f t="shared" si="11"/>
        <v>2026-09</v>
      </c>
      <c r="O146" t="str" cm="1">
        <f t="array" ref="O146">IFERROR(_xlfn.XLOOKUP(C146,AgentMaster[[#All],[Agent ID]],AgentMaster[[#All],[Agent Name]]),"")</f>
        <v>Agent 118</v>
      </c>
      <c r="P146">
        <f t="shared" si="12"/>
        <v>11</v>
      </c>
    </row>
    <row r="147" spans="1:16" x14ac:dyDescent="0.3">
      <c r="A147" t="s">
        <v>269</v>
      </c>
      <c r="B147" s="5">
        <v>46240</v>
      </c>
      <c r="C147" t="s">
        <v>127</v>
      </c>
      <c r="D147" t="s">
        <v>87</v>
      </c>
      <c r="E147">
        <v>2500</v>
      </c>
      <c r="F147" t="s">
        <v>72</v>
      </c>
      <c r="G147" t="s">
        <v>84</v>
      </c>
      <c r="H147" t="s">
        <v>81</v>
      </c>
      <c r="I147" t="str">
        <f t="shared" si="9"/>
        <v>2026-08</v>
      </c>
      <c r="J147" t="str">
        <f ca="1">IFERROR(_xludf.XLOOKUP(C147,'Agent Master'!$A:$A,'Agent Master'!$B:$B,"Missing"),"Missing")</f>
        <v>Missing</v>
      </c>
      <c r="K147" t="str">
        <f ca="1">IFERROR(_xludf.XLOOKUP(C147,'Agent Master'!$A:$A,'Agent Master'!$C:$C,"Missing"),"Missing")</f>
        <v>Missing</v>
      </c>
      <c r="L147" t="str">
        <f t="shared" si="10"/>
        <v>August</v>
      </c>
      <c r="M147" t="str">
        <f>_xlfn.XLOOKUP('Transaction Data'!D147,ProductMap[Product Code],ProductMap[Product Name])</f>
        <v>APAY</v>
      </c>
      <c r="N147" t="str">
        <f t="shared" si="11"/>
        <v>2026-08</v>
      </c>
      <c r="O147" t="str" cm="1">
        <f t="array" ref="O147">IFERROR(_xlfn.XLOOKUP(C147,AgentMaster[[#All],[Agent ID]],AgentMaster[[#All],[Agent Name]]),"")</f>
        <v>Agent 131</v>
      </c>
      <c r="P147">
        <f t="shared" si="12"/>
        <v>11</v>
      </c>
    </row>
    <row r="148" spans="1:16" x14ac:dyDescent="0.3">
      <c r="A148" t="s">
        <v>270</v>
      </c>
      <c r="B148" s="5">
        <v>46289</v>
      </c>
      <c r="C148" t="s">
        <v>199</v>
      </c>
      <c r="D148" t="s">
        <v>87</v>
      </c>
      <c r="E148">
        <v>2500</v>
      </c>
      <c r="F148" t="s">
        <v>72</v>
      </c>
      <c r="G148" t="s">
        <v>84</v>
      </c>
      <c r="H148" t="s">
        <v>78</v>
      </c>
      <c r="I148" t="str">
        <f t="shared" si="9"/>
        <v>2026-09</v>
      </c>
      <c r="J148" t="str">
        <f ca="1">IFERROR(_xludf.XLOOKUP(C148,'Agent Master'!$A:$A,'Agent Master'!$B:$B,"Missing"),"Missing")</f>
        <v>Missing</v>
      </c>
      <c r="K148" t="str">
        <f ca="1">IFERROR(_xludf.XLOOKUP(C148,'Agent Master'!$A:$A,'Agent Master'!$C:$C,"Missing"),"Missing")</f>
        <v>Missing</v>
      </c>
      <c r="L148" t="str">
        <f t="shared" si="10"/>
        <v>September</v>
      </c>
      <c r="M148" t="str">
        <f>_xlfn.XLOOKUP('Transaction Data'!D148,ProductMap[Product Code],ProductMap[Product Name])</f>
        <v>APAY</v>
      </c>
      <c r="N148" t="str">
        <f t="shared" si="11"/>
        <v>2026-09</v>
      </c>
      <c r="O148" t="str" cm="1">
        <f t="array" ref="O148">IFERROR(_xlfn.XLOOKUP(C148,AgentMaster[[#All],[Agent ID]],AgentMaster[[#All],[Agent Name]]),"")</f>
        <v>Agent 111</v>
      </c>
      <c r="P148">
        <f t="shared" si="12"/>
        <v>8</v>
      </c>
    </row>
    <row r="149" spans="1:16" x14ac:dyDescent="0.3">
      <c r="A149" t="s">
        <v>271</v>
      </c>
      <c r="B149" s="5">
        <v>46287</v>
      </c>
      <c r="C149" t="s">
        <v>112</v>
      </c>
      <c r="D149" t="s">
        <v>71</v>
      </c>
      <c r="E149">
        <v>5000</v>
      </c>
      <c r="F149" t="s">
        <v>72</v>
      </c>
      <c r="G149" t="s">
        <v>84</v>
      </c>
      <c r="H149" t="s">
        <v>96</v>
      </c>
      <c r="I149" t="str">
        <f t="shared" si="9"/>
        <v>2026-09</v>
      </c>
      <c r="J149" t="str">
        <f ca="1">IFERROR(_xludf.XLOOKUP(C149,'Agent Master'!$A:$A,'Agent Master'!$B:$B,"Missing"),"Missing")</f>
        <v>Missing</v>
      </c>
      <c r="K149" t="str">
        <f ca="1">IFERROR(_xludf.XLOOKUP(C149,'Agent Master'!$A:$A,'Agent Master'!$C:$C,"Missing"),"Missing")</f>
        <v>Missing</v>
      </c>
      <c r="L149" t="str">
        <f t="shared" si="10"/>
        <v>September</v>
      </c>
      <c r="M149" t="str">
        <f>_xlfn.XLOOKUP('Transaction Data'!D149,ProductMap[Product Code],ProductMap[Product Name])</f>
        <v>AEPS</v>
      </c>
      <c r="N149" t="str">
        <f t="shared" si="11"/>
        <v>2026-09</v>
      </c>
      <c r="O149" t="str" cm="1">
        <f t="array" ref="O149">IFERROR(_xlfn.XLOOKUP(C149,AgentMaster[[#All],[Agent ID]],AgentMaster[[#All],[Agent Name]]),"")</f>
        <v>Agent 136</v>
      </c>
      <c r="P149">
        <f t="shared" si="12"/>
        <v>16</v>
      </c>
    </row>
    <row r="150" spans="1:16" x14ac:dyDescent="0.3">
      <c r="A150" t="s">
        <v>272</v>
      </c>
      <c r="B150" s="5">
        <v>46255</v>
      </c>
      <c r="C150" t="s">
        <v>70</v>
      </c>
      <c r="D150" t="s">
        <v>110</v>
      </c>
      <c r="E150">
        <v>7500</v>
      </c>
      <c r="F150" t="s">
        <v>72</v>
      </c>
      <c r="G150" t="s">
        <v>73</v>
      </c>
      <c r="H150" t="s">
        <v>78</v>
      </c>
      <c r="I150" t="str">
        <f t="shared" si="9"/>
        <v>2026-08</v>
      </c>
      <c r="J150" t="str">
        <f ca="1">IFERROR(_xludf.XLOOKUP(C150,'Agent Master'!$A:$A,'Agent Master'!$B:$B,"Missing"),"Missing")</f>
        <v>Missing</v>
      </c>
      <c r="K150" t="str">
        <f ca="1">IFERROR(_xludf.XLOOKUP(C150,'Agent Master'!$A:$A,'Agent Master'!$C:$C,"Missing"),"Missing")</f>
        <v>Missing</v>
      </c>
      <c r="L150" t="str">
        <f t="shared" si="10"/>
        <v>August</v>
      </c>
      <c r="M150" t="str">
        <f>_xlfn.XLOOKUP('Transaction Data'!D150,ProductMap[Product Code],ProductMap[Product Name])</f>
        <v>DMT</v>
      </c>
      <c r="N150" t="str">
        <f t="shared" si="11"/>
        <v>2026-08</v>
      </c>
      <c r="O150" t="str" cm="1">
        <f t="array" ref="O150">IFERROR(_xlfn.XLOOKUP(C150,AgentMaster[[#All],[Agent ID]],AgentMaster[[#All],[Agent Name]]),"")</f>
        <v>Agent 108</v>
      </c>
      <c r="P150">
        <f t="shared" si="12"/>
        <v>12</v>
      </c>
    </row>
    <row r="151" spans="1:16" x14ac:dyDescent="0.3">
      <c r="A151" t="s">
        <v>273</v>
      </c>
      <c r="B151" s="5">
        <v>46261</v>
      </c>
      <c r="C151" t="s">
        <v>152</v>
      </c>
      <c r="D151" t="s">
        <v>90</v>
      </c>
      <c r="E151">
        <v>7500</v>
      </c>
      <c r="F151" t="s">
        <v>72</v>
      </c>
      <c r="G151" t="s">
        <v>73</v>
      </c>
      <c r="H151" t="s">
        <v>78</v>
      </c>
      <c r="I151" t="str">
        <f t="shared" si="9"/>
        <v>2026-08</v>
      </c>
      <c r="J151" t="str">
        <f ca="1">IFERROR(_xludf.XLOOKUP(C151,'Agent Master'!$A:$A,'Agent Master'!$B:$B,"Missing"),"Missing")</f>
        <v>Missing</v>
      </c>
      <c r="K151" t="str">
        <f ca="1">IFERROR(_xludf.XLOOKUP(C151,'Agent Master'!$A:$A,'Agent Master'!$C:$C,"Missing"),"Missing")</f>
        <v>Missing</v>
      </c>
      <c r="L151" t="str">
        <f t="shared" si="10"/>
        <v>August</v>
      </c>
      <c r="M151" t="str">
        <f>_xlfn.XLOOKUP('Transaction Data'!D151,ProductMap[Product Code],ProductMap[Product Name])</f>
        <v>UPI</v>
      </c>
      <c r="N151" t="str">
        <f t="shared" si="11"/>
        <v>2026-08</v>
      </c>
      <c r="O151" t="str" cm="1">
        <f t="array" ref="O151">IFERROR(_xlfn.XLOOKUP(C151,AgentMaster[[#All],[Agent ID]],AgentMaster[[#All],[Agent Name]]),"")</f>
        <v>Agent 104</v>
      </c>
      <c r="P151">
        <f t="shared" si="12"/>
        <v>6</v>
      </c>
    </row>
    <row r="152" spans="1:16" x14ac:dyDescent="0.3">
      <c r="A152" t="s">
        <v>274</v>
      </c>
      <c r="B152" s="5">
        <v>46275</v>
      </c>
      <c r="C152" t="s">
        <v>172</v>
      </c>
      <c r="D152" t="s">
        <v>71</v>
      </c>
      <c r="E152">
        <v>1000</v>
      </c>
      <c r="F152" t="s">
        <v>72</v>
      </c>
      <c r="G152" t="s">
        <v>73</v>
      </c>
      <c r="H152" t="s">
        <v>74</v>
      </c>
      <c r="I152" t="str">
        <f t="shared" si="9"/>
        <v>2026-09</v>
      </c>
      <c r="J152" t="str">
        <f ca="1">IFERROR(_xludf.XLOOKUP(C152,'Agent Master'!$A:$A,'Agent Master'!$B:$B,"Missing"),"Missing")</f>
        <v>Missing</v>
      </c>
      <c r="K152" t="str">
        <f ca="1">IFERROR(_xludf.XLOOKUP(C152,'Agent Master'!$A:$A,'Agent Master'!$C:$C,"Missing"),"Missing")</f>
        <v>Missing</v>
      </c>
      <c r="L152" t="str">
        <f t="shared" si="10"/>
        <v>September</v>
      </c>
      <c r="M152" t="str">
        <f>_xlfn.XLOOKUP('Transaction Data'!D152,ProductMap[Product Code],ProductMap[Product Name])</f>
        <v>AEPS</v>
      </c>
      <c r="N152" t="str">
        <f t="shared" si="11"/>
        <v>2026-09</v>
      </c>
      <c r="O152" t="str" cm="1">
        <f t="array" ref="O152">IFERROR(_xlfn.XLOOKUP(C152,AgentMaster[[#All],[Agent ID]],AgentMaster[[#All],[Agent Name]]),"")</f>
        <v>Agent 129</v>
      </c>
      <c r="P152">
        <f t="shared" si="12"/>
        <v>18</v>
      </c>
    </row>
    <row r="153" spans="1:16" x14ac:dyDescent="0.3">
      <c r="A153" t="s">
        <v>275</v>
      </c>
      <c r="B153" s="5">
        <v>46294</v>
      </c>
      <c r="C153" t="s">
        <v>242</v>
      </c>
      <c r="D153" t="s">
        <v>110</v>
      </c>
      <c r="E153">
        <v>15000</v>
      </c>
      <c r="F153" t="s">
        <v>72</v>
      </c>
      <c r="G153" t="s">
        <v>73</v>
      </c>
      <c r="H153" t="s">
        <v>81</v>
      </c>
      <c r="I153" t="str">
        <f t="shared" si="9"/>
        <v>2026-09</v>
      </c>
      <c r="J153" t="str">
        <f ca="1">IFERROR(_xludf.XLOOKUP(C153,'Agent Master'!$A:$A,'Agent Master'!$B:$B,"Missing"),"Missing")</f>
        <v>Missing</v>
      </c>
      <c r="K153" t="str">
        <f ca="1">IFERROR(_xludf.XLOOKUP(C153,'Agent Master'!$A:$A,'Agent Master'!$C:$C,"Missing"),"Missing")</f>
        <v>Missing</v>
      </c>
      <c r="L153" t="str">
        <f t="shared" si="10"/>
        <v>September</v>
      </c>
      <c r="M153" t="str">
        <f>_xlfn.XLOOKUP('Transaction Data'!D153,ProductMap[Product Code],ProductMap[Product Name])</f>
        <v>DMT</v>
      </c>
      <c r="N153" t="str">
        <f t="shared" si="11"/>
        <v>2026-09</v>
      </c>
      <c r="O153" t="str" cm="1">
        <f t="array" ref="O153">IFERROR(_xlfn.XLOOKUP(C153,AgentMaster[[#All],[Agent ID]],AgentMaster[[#All],[Agent Name]]),"")</f>
        <v>Agent 119</v>
      </c>
      <c r="P153">
        <f t="shared" si="12"/>
        <v>13</v>
      </c>
    </row>
    <row r="154" spans="1:16" x14ac:dyDescent="0.3">
      <c r="A154" t="s">
        <v>276</v>
      </c>
      <c r="B154" s="5">
        <v>46275</v>
      </c>
      <c r="C154" t="s">
        <v>255</v>
      </c>
      <c r="D154" t="s">
        <v>90</v>
      </c>
      <c r="E154">
        <v>15000</v>
      </c>
      <c r="F154" t="s">
        <v>72</v>
      </c>
      <c r="G154" t="s">
        <v>84</v>
      </c>
      <c r="H154" t="s">
        <v>81</v>
      </c>
      <c r="I154" t="str">
        <f t="shared" si="9"/>
        <v>2026-09</v>
      </c>
      <c r="J154" t="str">
        <f ca="1">IFERROR(_xludf.XLOOKUP(C154,'Agent Master'!$A:$A,'Agent Master'!$B:$B,"Missing"),"Missing")</f>
        <v>Missing</v>
      </c>
      <c r="K154" t="str">
        <f ca="1">IFERROR(_xludf.XLOOKUP(C154,'Agent Master'!$A:$A,'Agent Master'!$C:$C,"Missing"),"Missing")</f>
        <v>Missing</v>
      </c>
      <c r="L154" t="str">
        <f t="shared" si="10"/>
        <v>September</v>
      </c>
      <c r="M154" t="str">
        <f>_xlfn.XLOOKUP('Transaction Data'!D154,ProductMap[Product Code],ProductMap[Product Name])</f>
        <v>UPI</v>
      </c>
      <c r="N154" t="str">
        <f t="shared" si="11"/>
        <v>2026-09</v>
      </c>
      <c r="O154" t="str" cm="1">
        <f t="array" ref="O154">IFERROR(_xlfn.XLOOKUP(C154,AgentMaster[[#All],[Agent ID]],AgentMaster[[#All],[Agent Name]]),"")</f>
        <v>Agent 139</v>
      </c>
      <c r="P154">
        <f t="shared" si="12"/>
        <v>10</v>
      </c>
    </row>
    <row r="155" spans="1:16" x14ac:dyDescent="0.3">
      <c r="A155" t="s">
        <v>277</v>
      </c>
      <c r="B155" s="5">
        <v>46270</v>
      </c>
      <c r="C155" t="s">
        <v>180</v>
      </c>
      <c r="D155" t="s">
        <v>71</v>
      </c>
      <c r="E155">
        <v>1000</v>
      </c>
      <c r="F155" t="s">
        <v>72</v>
      </c>
      <c r="G155" t="s">
        <v>84</v>
      </c>
      <c r="H155" t="s">
        <v>81</v>
      </c>
      <c r="I155" t="str">
        <f t="shared" si="9"/>
        <v>2026-09</v>
      </c>
      <c r="J155" t="str">
        <f ca="1">IFERROR(_xludf.XLOOKUP(C155,'Agent Master'!$A:$A,'Agent Master'!$B:$B,"Missing"),"Missing")</f>
        <v>Missing</v>
      </c>
      <c r="K155" t="str">
        <f ca="1">IFERROR(_xludf.XLOOKUP(C155,'Agent Master'!$A:$A,'Agent Master'!$C:$C,"Missing"),"Missing")</f>
        <v>Missing</v>
      </c>
      <c r="L155" t="str">
        <f t="shared" si="10"/>
        <v>September</v>
      </c>
      <c r="M155" t="str">
        <f>_xlfn.XLOOKUP('Transaction Data'!D155,ProductMap[Product Code],ProductMap[Product Name])</f>
        <v>AEPS</v>
      </c>
      <c r="N155" t="str">
        <f t="shared" si="11"/>
        <v>2026-09</v>
      </c>
      <c r="O155" t="str" cm="1">
        <f t="array" ref="O155">IFERROR(_xlfn.XLOOKUP(C155,AgentMaster[[#All],[Agent ID]],AgentMaster[[#All],[Agent Name]]),"")</f>
        <v>Agent 127</v>
      </c>
      <c r="P155">
        <f t="shared" si="12"/>
        <v>11</v>
      </c>
    </row>
    <row r="156" spans="1:16" x14ac:dyDescent="0.3">
      <c r="A156" t="s">
        <v>278</v>
      </c>
      <c r="B156" s="5">
        <v>46276</v>
      </c>
      <c r="C156" t="s">
        <v>204</v>
      </c>
      <c r="D156" t="s">
        <v>110</v>
      </c>
      <c r="E156">
        <v>15000</v>
      </c>
      <c r="F156" t="s">
        <v>72</v>
      </c>
      <c r="G156" t="s">
        <v>73</v>
      </c>
      <c r="H156" t="s">
        <v>96</v>
      </c>
      <c r="I156" t="str">
        <f t="shared" si="9"/>
        <v>2026-09</v>
      </c>
      <c r="J156" t="str">
        <f ca="1">IFERROR(_xludf.XLOOKUP(C156,'Agent Master'!$A:$A,'Agent Master'!$B:$B,"Missing"),"Missing")</f>
        <v>Missing</v>
      </c>
      <c r="K156" t="str">
        <f ca="1">IFERROR(_xludf.XLOOKUP(C156,'Agent Master'!$A:$A,'Agent Master'!$C:$C,"Missing"),"Missing")</f>
        <v>Missing</v>
      </c>
      <c r="L156" t="str">
        <f t="shared" si="10"/>
        <v>September</v>
      </c>
      <c r="M156" t="str">
        <f>_xlfn.XLOOKUP('Transaction Data'!D156,ProductMap[Product Code],ProductMap[Product Name])</f>
        <v>DMT</v>
      </c>
      <c r="N156" t="str">
        <f t="shared" si="11"/>
        <v>2026-09</v>
      </c>
      <c r="O156" t="str" cm="1">
        <f t="array" ref="O156">IFERROR(_xlfn.XLOOKUP(C156,AgentMaster[[#All],[Agent ID]],AgentMaster[[#All],[Agent Name]]),"")</f>
        <v>Agent 110</v>
      </c>
      <c r="P156">
        <f t="shared" si="12"/>
        <v>17</v>
      </c>
    </row>
    <row r="157" spans="1:16" x14ac:dyDescent="0.3">
      <c r="A157" t="s">
        <v>279</v>
      </c>
      <c r="B157" s="5">
        <v>46261</v>
      </c>
      <c r="C157" t="s">
        <v>127</v>
      </c>
      <c r="D157" t="s">
        <v>110</v>
      </c>
      <c r="E157">
        <v>1000</v>
      </c>
      <c r="F157" t="s">
        <v>72</v>
      </c>
      <c r="G157" t="s">
        <v>73</v>
      </c>
      <c r="H157" t="s">
        <v>74</v>
      </c>
      <c r="I157" t="str">
        <f t="shared" si="9"/>
        <v>2026-08</v>
      </c>
      <c r="J157" t="str">
        <f ca="1">IFERROR(_xludf.XLOOKUP(C157,'Agent Master'!$A:$A,'Agent Master'!$B:$B,"Missing"),"Missing")</f>
        <v>Missing</v>
      </c>
      <c r="K157" t="str">
        <f ca="1">IFERROR(_xludf.XLOOKUP(C157,'Agent Master'!$A:$A,'Agent Master'!$C:$C,"Missing"),"Missing")</f>
        <v>Missing</v>
      </c>
      <c r="L157" t="str">
        <f t="shared" si="10"/>
        <v>August</v>
      </c>
      <c r="M157" t="str">
        <f>_xlfn.XLOOKUP('Transaction Data'!D157,ProductMap[Product Code],ProductMap[Product Name])</f>
        <v>DMT</v>
      </c>
      <c r="N157" t="str">
        <f t="shared" si="11"/>
        <v>2026-08</v>
      </c>
      <c r="O157" t="str" cm="1">
        <f t="array" ref="O157">IFERROR(_xlfn.XLOOKUP(C157,AgentMaster[[#All],[Agent ID]],AgentMaster[[#All],[Agent Name]]),"")</f>
        <v>Agent 131</v>
      </c>
      <c r="P157">
        <f t="shared" si="12"/>
        <v>11</v>
      </c>
    </row>
    <row r="158" spans="1:16" x14ac:dyDescent="0.3">
      <c r="A158" t="s">
        <v>280</v>
      </c>
      <c r="B158" s="5">
        <v>46259</v>
      </c>
      <c r="C158" t="s">
        <v>83</v>
      </c>
      <c r="D158" t="s">
        <v>95</v>
      </c>
      <c r="E158">
        <v>7500</v>
      </c>
      <c r="F158" t="s">
        <v>72</v>
      </c>
      <c r="G158" t="s">
        <v>73</v>
      </c>
      <c r="H158" t="s">
        <v>96</v>
      </c>
      <c r="I158" t="str">
        <f t="shared" si="9"/>
        <v>2026-08</v>
      </c>
      <c r="J158" t="str">
        <f ca="1">IFERROR(_xludf.XLOOKUP(C158,'Agent Master'!$A:$A,'Agent Master'!$B:$B,"Missing"),"Missing")</f>
        <v>Missing</v>
      </c>
      <c r="K158" t="str">
        <f ca="1">IFERROR(_xludf.XLOOKUP(C158,'Agent Master'!$A:$A,'Agent Master'!$C:$C,"Missing"),"Missing")</f>
        <v>Missing</v>
      </c>
      <c r="L158" t="str">
        <f t="shared" si="10"/>
        <v>August</v>
      </c>
      <c r="M158" t="str">
        <f>_xlfn.XLOOKUP('Transaction Data'!D158,ProductMap[Product Code],ProductMap[Product Name])</f>
        <v>BBPS</v>
      </c>
      <c r="N158" t="str">
        <f t="shared" si="11"/>
        <v>2026-08</v>
      </c>
      <c r="O158" t="str" cm="1">
        <f t="array" ref="O158">IFERROR(_xlfn.XLOOKUP(C158,AgentMaster[[#All],[Agent ID]],AgentMaster[[#All],[Agent Name]]),"")</f>
        <v>Agent 113</v>
      </c>
      <c r="P158">
        <f t="shared" si="12"/>
        <v>12</v>
      </c>
    </row>
    <row r="159" spans="1:16" x14ac:dyDescent="0.3">
      <c r="A159" t="s">
        <v>281</v>
      </c>
      <c r="B159" s="5">
        <v>46284</v>
      </c>
      <c r="C159" t="s">
        <v>180</v>
      </c>
      <c r="D159" t="s">
        <v>87</v>
      </c>
      <c r="E159">
        <v>20000</v>
      </c>
      <c r="F159" t="s">
        <v>72</v>
      </c>
      <c r="G159" t="s">
        <v>84</v>
      </c>
      <c r="H159" t="s">
        <v>81</v>
      </c>
      <c r="I159" t="str">
        <f t="shared" si="9"/>
        <v>2026-09</v>
      </c>
      <c r="J159" t="str">
        <f ca="1">IFERROR(_xludf.XLOOKUP(C159,'Agent Master'!$A:$A,'Agent Master'!$B:$B,"Missing"),"Missing")</f>
        <v>Missing</v>
      </c>
      <c r="K159" t="str">
        <f ca="1">IFERROR(_xludf.XLOOKUP(C159,'Agent Master'!$A:$A,'Agent Master'!$C:$C,"Missing"),"Missing")</f>
        <v>Missing</v>
      </c>
      <c r="L159" t="str">
        <f t="shared" si="10"/>
        <v>September</v>
      </c>
      <c r="M159" t="str">
        <f>_xlfn.XLOOKUP('Transaction Data'!D159,ProductMap[Product Code],ProductMap[Product Name])</f>
        <v>APAY</v>
      </c>
      <c r="N159" t="str">
        <f t="shared" si="11"/>
        <v>2026-09</v>
      </c>
      <c r="O159" t="str" cm="1">
        <f t="array" ref="O159">IFERROR(_xlfn.XLOOKUP(C159,AgentMaster[[#All],[Agent ID]],AgentMaster[[#All],[Agent Name]]),"")</f>
        <v>Agent 127</v>
      </c>
      <c r="P159">
        <f t="shared" si="12"/>
        <v>11</v>
      </c>
    </row>
    <row r="160" spans="1:16" x14ac:dyDescent="0.3">
      <c r="A160" t="s">
        <v>282</v>
      </c>
      <c r="B160" s="5">
        <v>46253</v>
      </c>
      <c r="C160" t="s">
        <v>193</v>
      </c>
      <c r="D160" t="s">
        <v>95</v>
      </c>
      <c r="E160">
        <v>10000</v>
      </c>
      <c r="F160" t="s">
        <v>72</v>
      </c>
      <c r="G160" t="s">
        <v>73</v>
      </c>
      <c r="H160" t="s">
        <v>78</v>
      </c>
      <c r="I160" t="str">
        <f t="shared" si="9"/>
        <v>2026-08</v>
      </c>
      <c r="J160" t="str">
        <f ca="1">IFERROR(_xludf.XLOOKUP(C160,'Agent Master'!$A:$A,'Agent Master'!$B:$B,"Missing"),"Missing")</f>
        <v>Missing</v>
      </c>
      <c r="K160" t="str">
        <f ca="1">IFERROR(_xludf.XLOOKUP(C160,'Agent Master'!$A:$A,'Agent Master'!$C:$C,"Missing"),"Missing")</f>
        <v>Missing</v>
      </c>
      <c r="L160" t="str">
        <f t="shared" si="10"/>
        <v>August</v>
      </c>
      <c r="M160" t="str">
        <f>_xlfn.XLOOKUP('Transaction Data'!D160,ProductMap[Product Code],ProductMap[Product Name])</f>
        <v>BBPS</v>
      </c>
      <c r="N160" t="str">
        <f t="shared" si="11"/>
        <v>2026-08</v>
      </c>
      <c r="O160" t="str" cm="1">
        <f t="array" ref="O160">IFERROR(_xlfn.XLOOKUP(C160,AgentMaster[[#All],[Agent ID]],AgentMaster[[#All],[Agent Name]]),"")</f>
        <v>Agent 120</v>
      </c>
      <c r="P160">
        <f t="shared" si="12"/>
        <v>8</v>
      </c>
    </row>
    <row r="161" spans="1:16" x14ac:dyDescent="0.3">
      <c r="A161" t="s">
        <v>283</v>
      </c>
      <c r="B161" s="5">
        <v>46269</v>
      </c>
      <c r="C161" t="s">
        <v>127</v>
      </c>
      <c r="D161" t="s">
        <v>87</v>
      </c>
      <c r="E161">
        <v>2000</v>
      </c>
      <c r="F161" t="s">
        <v>72</v>
      </c>
      <c r="G161" t="s">
        <v>73</v>
      </c>
      <c r="H161" t="s">
        <v>78</v>
      </c>
      <c r="I161" t="str">
        <f t="shared" si="9"/>
        <v>2026-09</v>
      </c>
      <c r="J161" t="str">
        <f ca="1">IFERROR(_xludf.XLOOKUP(C161,'Agent Master'!$A:$A,'Agent Master'!$B:$B,"Missing"),"Missing")</f>
        <v>Missing</v>
      </c>
      <c r="K161" t="str">
        <f ca="1">IFERROR(_xludf.XLOOKUP(C161,'Agent Master'!$A:$A,'Agent Master'!$C:$C,"Missing"),"Missing")</f>
        <v>Missing</v>
      </c>
      <c r="L161" t="str">
        <f t="shared" si="10"/>
        <v>September</v>
      </c>
      <c r="M161" t="str">
        <f>_xlfn.XLOOKUP('Transaction Data'!D161,ProductMap[Product Code],ProductMap[Product Name])</f>
        <v>APAY</v>
      </c>
      <c r="N161" t="str">
        <f t="shared" si="11"/>
        <v>2026-09</v>
      </c>
      <c r="O161" t="str" cm="1">
        <f t="array" ref="O161">IFERROR(_xlfn.XLOOKUP(C161,AgentMaster[[#All],[Agent ID]],AgentMaster[[#All],[Agent Name]]),"")</f>
        <v>Agent 131</v>
      </c>
      <c r="P161">
        <f t="shared" si="12"/>
        <v>11</v>
      </c>
    </row>
    <row r="162" spans="1:16" x14ac:dyDescent="0.3">
      <c r="A162" t="s">
        <v>284</v>
      </c>
      <c r="B162" s="5">
        <v>46264</v>
      </c>
      <c r="C162" t="s">
        <v>106</v>
      </c>
      <c r="D162" t="s">
        <v>90</v>
      </c>
      <c r="E162">
        <v>15000</v>
      </c>
      <c r="F162" t="s">
        <v>72</v>
      </c>
      <c r="G162" t="s">
        <v>73</v>
      </c>
      <c r="H162" t="s">
        <v>78</v>
      </c>
      <c r="I162" t="str">
        <f t="shared" si="9"/>
        <v>2026-08</v>
      </c>
      <c r="J162" t="str">
        <f ca="1">IFERROR(_xludf.XLOOKUP(C162,'Agent Master'!$A:$A,'Agent Master'!$B:$B,"Missing"),"Missing")</f>
        <v>Missing</v>
      </c>
      <c r="K162" t="str">
        <f ca="1">IFERROR(_xludf.XLOOKUP(C162,'Agent Master'!$A:$A,'Agent Master'!$C:$C,"Missing"),"Missing")</f>
        <v>Missing</v>
      </c>
      <c r="L162" t="str">
        <f t="shared" si="10"/>
        <v>August</v>
      </c>
      <c r="M162" t="str">
        <f>_xlfn.XLOOKUP('Transaction Data'!D162,ProductMap[Product Code],ProductMap[Product Name])</f>
        <v>UPI</v>
      </c>
      <c r="N162" t="str">
        <f t="shared" si="11"/>
        <v>2026-08</v>
      </c>
      <c r="O162" t="str" cm="1">
        <f t="array" ref="O162">IFERROR(_xlfn.XLOOKUP(C162,AgentMaster[[#All],[Agent ID]],AgentMaster[[#All],[Agent Name]]),"")</f>
        <v>Agent 121</v>
      </c>
      <c r="P162">
        <f t="shared" si="12"/>
        <v>7</v>
      </c>
    </row>
    <row r="163" spans="1:16" x14ac:dyDescent="0.3">
      <c r="A163" t="s">
        <v>285</v>
      </c>
      <c r="B163" s="5">
        <v>46249</v>
      </c>
      <c r="C163" t="s">
        <v>180</v>
      </c>
      <c r="D163" t="s">
        <v>71</v>
      </c>
      <c r="E163">
        <v>2000</v>
      </c>
      <c r="F163" t="s">
        <v>72</v>
      </c>
      <c r="G163" t="s">
        <v>73</v>
      </c>
      <c r="H163" t="s">
        <v>78</v>
      </c>
      <c r="I163" t="str">
        <f t="shared" si="9"/>
        <v>2026-08</v>
      </c>
      <c r="J163" t="str">
        <f ca="1">IFERROR(_xludf.XLOOKUP(C163,'Agent Master'!$A:$A,'Agent Master'!$B:$B,"Missing"),"Missing")</f>
        <v>Missing</v>
      </c>
      <c r="K163" t="str">
        <f ca="1">IFERROR(_xludf.XLOOKUP(C163,'Agent Master'!$A:$A,'Agent Master'!$C:$C,"Missing"),"Missing")</f>
        <v>Missing</v>
      </c>
      <c r="L163" t="str">
        <f t="shared" si="10"/>
        <v>August</v>
      </c>
      <c r="M163" t="str">
        <f>_xlfn.XLOOKUP('Transaction Data'!D163,ProductMap[Product Code],ProductMap[Product Name])</f>
        <v>AEPS</v>
      </c>
      <c r="N163" t="str">
        <f t="shared" si="11"/>
        <v>2026-08</v>
      </c>
      <c r="O163" t="str" cm="1">
        <f t="array" ref="O163">IFERROR(_xlfn.XLOOKUP(C163,AgentMaster[[#All],[Agent ID]],AgentMaster[[#All],[Agent Name]]),"")</f>
        <v>Agent 127</v>
      </c>
      <c r="P163">
        <f t="shared" si="12"/>
        <v>11</v>
      </c>
    </row>
    <row r="164" spans="1:16" x14ac:dyDescent="0.3">
      <c r="A164" t="s">
        <v>286</v>
      </c>
      <c r="B164" s="5">
        <v>46259</v>
      </c>
      <c r="D164" t="s">
        <v>90</v>
      </c>
      <c r="E164">
        <v>5000</v>
      </c>
      <c r="F164" t="s">
        <v>72</v>
      </c>
      <c r="G164" t="s">
        <v>73</v>
      </c>
      <c r="H164" t="s">
        <v>96</v>
      </c>
      <c r="I164" t="str">
        <f t="shared" si="9"/>
        <v>2026-08</v>
      </c>
      <c r="J164" t="str">
        <f ca="1">IFERROR(_xludf.XLOOKUP(C164,'Agent Master'!$A:$A,'Agent Master'!$B:$B,"Missing"),"Missing")</f>
        <v>Missing</v>
      </c>
      <c r="K164" t="str">
        <f ca="1">IFERROR(_xludf.XLOOKUP(C164,'Agent Master'!$A:$A,'Agent Master'!$C:$C,"Missing"),"Missing")</f>
        <v>Missing</v>
      </c>
      <c r="L164" t="str">
        <f t="shared" si="10"/>
        <v>August</v>
      </c>
      <c r="M164" t="str">
        <f>_xlfn.XLOOKUP('Transaction Data'!D164,ProductMap[Product Code],ProductMap[Product Name])</f>
        <v>UPI</v>
      </c>
      <c r="N164" t="str">
        <f t="shared" si="11"/>
        <v>2026-08</v>
      </c>
      <c r="O164" t="str" cm="1">
        <f t="array" ref="O164">IFERROR(_xlfn.XLOOKUP(C164,AgentMaster[[#All],[Agent ID]],AgentMaster[[#All],[Agent Name]]),"")</f>
        <v/>
      </c>
      <c r="P164">
        <f t="shared" si="12"/>
        <v>25</v>
      </c>
    </row>
    <row r="165" spans="1:16" x14ac:dyDescent="0.3">
      <c r="A165" t="s">
        <v>287</v>
      </c>
      <c r="B165" s="5">
        <v>46290</v>
      </c>
      <c r="C165" t="s">
        <v>76</v>
      </c>
      <c r="D165" t="s">
        <v>110</v>
      </c>
      <c r="E165">
        <v>500</v>
      </c>
      <c r="F165" t="s">
        <v>72</v>
      </c>
      <c r="G165" t="s">
        <v>84</v>
      </c>
      <c r="H165" t="s">
        <v>81</v>
      </c>
      <c r="I165" t="str">
        <f t="shared" si="9"/>
        <v>2026-09</v>
      </c>
      <c r="J165" t="str">
        <f ca="1">IFERROR(_xludf.XLOOKUP(C165,'Agent Master'!$A:$A,'Agent Master'!$B:$B,"Missing"),"Missing")</f>
        <v>Missing</v>
      </c>
      <c r="K165" t="str">
        <f ca="1">IFERROR(_xludf.XLOOKUP(C165,'Agent Master'!$A:$A,'Agent Master'!$C:$C,"Missing"),"Missing")</f>
        <v>Missing</v>
      </c>
      <c r="L165" t="str">
        <f t="shared" si="10"/>
        <v>September</v>
      </c>
      <c r="M165" t="str">
        <f>_xlfn.XLOOKUP('Transaction Data'!D165,ProductMap[Product Code],ProductMap[Product Name])</f>
        <v>DMT</v>
      </c>
      <c r="N165" t="str">
        <f t="shared" si="11"/>
        <v>2026-09</v>
      </c>
      <c r="O165" t="str" cm="1">
        <f t="array" ref="O165">IFERROR(_xlfn.XLOOKUP(C165,AgentMaster[[#All],[Agent ID]],AgentMaster[[#All],[Agent Name]]),"")</f>
        <v>Agent 107</v>
      </c>
      <c r="P165">
        <f t="shared" si="12"/>
        <v>16</v>
      </c>
    </row>
    <row r="166" spans="1:16" x14ac:dyDescent="0.3">
      <c r="A166" t="s">
        <v>288</v>
      </c>
      <c r="B166" s="5">
        <v>46281</v>
      </c>
      <c r="C166" t="s">
        <v>204</v>
      </c>
      <c r="D166" t="s">
        <v>110</v>
      </c>
      <c r="E166">
        <v>12500</v>
      </c>
      <c r="F166" t="s">
        <v>72</v>
      </c>
      <c r="G166" t="s">
        <v>73</v>
      </c>
      <c r="H166" t="s">
        <v>78</v>
      </c>
      <c r="I166" t="str">
        <f t="shared" si="9"/>
        <v>2026-09</v>
      </c>
      <c r="J166" t="str">
        <f ca="1">IFERROR(_xludf.XLOOKUP(C166,'Agent Master'!$A:$A,'Agent Master'!$B:$B,"Missing"),"Missing")</f>
        <v>Missing</v>
      </c>
      <c r="K166" t="str">
        <f ca="1">IFERROR(_xludf.XLOOKUP(C166,'Agent Master'!$A:$A,'Agent Master'!$C:$C,"Missing"),"Missing")</f>
        <v>Missing</v>
      </c>
      <c r="L166" t="str">
        <f t="shared" si="10"/>
        <v>September</v>
      </c>
      <c r="M166" t="str">
        <f>_xlfn.XLOOKUP('Transaction Data'!D166,ProductMap[Product Code],ProductMap[Product Name])</f>
        <v>DMT</v>
      </c>
      <c r="N166" t="str">
        <f t="shared" si="11"/>
        <v>2026-09</v>
      </c>
      <c r="O166" t="str" cm="1">
        <f t="array" ref="O166">IFERROR(_xlfn.XLOOKUP(C166,AgentMaster[[#All],[Agent ID]],AgentMaster[[#All],[Agent Name]]),"")</f>
        <v>Agent 110</v>
      </c>
      <c r="P166">
        <f t="shared" si="12"/>
        <v>17</v>
      </c>
    </row>
    <row r="167" spans="1:16" x14ac:dyDescent="0.3">
      <c r="A167" t="s">
        <v>289</v>
      </c>
      <c r="B167" s="5">
        <v>46285</v>
      </c>
      <c r="C167" t="s">
        <v>159</v>
      </c>
      <c r="D167" t="s">
        <v>87</v>
      </c>
      <c r="E167">
        <v>10000</v>
      </c>
      <c r="F167" t="s">
        <v>72</v>
      </c>
      <c r="G167" t="s">
        <v>73</v>
      </c>
      <c r="H167" t="s">
        <v>81</v>
      </c>
      <c r="I167" t="str">
        <f t="shared" si="9"/>
        <v>2026-09</v>
      </c>
      <c r="J167" t="str">
        <f ca="1">IFERROR(_xludf.XLOOKUP(C167,'Agent Master'!$A:$A,'Agent Master'!$B:$B,"Missing"),"Missing")</f>
        <v>Missing</v>
      </c>
      <c r="K167" t="str">
        <f ca="1">IFERROR(_xludf.XLOOKUP(C167,'Agent Master'!$A:$A,'Agent Master'!$C:$C,"Missing"),"Missing")</f>
        <v>Missing</v>
      </c>
      <c r="L167" t="str">
        <f t="shared" si="10"/>
        <v>September</v>
      </c>
      <c r="M167" t="str">
        <f>_xlfn.XLOOKUP('Transaction Data'!D167,ProductMap[Product Code],ProductMap[Product Name])</f>
        <v>APAY</v>
      </c>
      <c r="N167" t="str">
        <f t="shared" si="11"/>
        <v>2026-09</v>
      </c>
      <c r="O167" t="str" cm="1">
        <f t="array" ref="O167">IFERROR(_xlfn.XLOOKUP(C167,AgentMaster[[#All],[Agent ID]],AgentMaster[[#All],[Agent Name]]),"")</f>
        <v>Agent 117</v>
      </c>
      <c r="P167">
        <f t="shared" si="12"/>
        <v>12</v>
      </c>
    </row>
    <row r="168" spans="1:16" x14ac:dyDescent="0.3">
      <c r="A168" t="s">
        <v>290</v>
      </c>
      <c r="B168" s="5">
        <v>46289</v>
      </c>
      <c r="C168" t="s">
        <v>191</v>
      </c>
      <c r="D168" t="s">
        <v>77</v>
      </c>
      <c r="E168">
        <v>7500</v>
      </c>
      <c r="F168" t="s">
        <v>72</v>
      </c>
      <c r="G168" t="s">
        <v>84</v>
      </c>
      <c r="H168" t="s">
        <v>78</v>
      </c>
      <c r="I168" t="str">
        <f t="shared" si="9"/>
        <v>2026-09</v>
      </c>
      <c r="J168" t="str">
        <f ca="1">IFERROR(_xludf.XLOOKUP(C168,'Agent Master'!$A:$A,'Agent Master'!$B:$B,"Missing"),"Missing")</f>
        <v>Missing</v>
      </c>
      <c r="K168" t="str">
        <f ca="1">IFERROR(_xludf.XLOOKUP(C168,'Agent Master'!$A:$A,'Agent Master'!$C:$C,"Missing"),"Missing")</f>
        <v>Missing</v>
      </c>
      <c r="L168" t="str">
        <f t="shared" si="10"/>
        <v>September</v>
      </c>
      <c r="M168" t="str">
        <f>_xlfn.XLOOKUP('Transaction Data'!D168,ProductMap[Product Code],ProductMap[Product Name])</f>
        <v>MATM</v>
      </c>
      <c r="N168" t="str">
        <f t="shared" si="11"/>
        <v>2026-09</v>
      </c>
      <c r="O168" t="str" cm="1">
        <f t="array" ref="O168">IFERROR(_xlfn.XLOOKUP(C168,AgentMaster[[#All],[Agent ID]],AgentMaster[[#All],[Agent Name]]),"")</f>
        <v>Agent 122</v>
      </c>
      <c r="P168">
        <f t="shared" si="12"/>
        <v>7</v>
      </c>
    </row>
    <row r="169" spans="1:16" x14ac:dyDescent="0.3">
      <c r="A169" t="s">
        <v>291</v>
      </c>
      <c r="B169" s="5">
        <v>46290</v>
      </c>
      <c r="C169" t="s">
        <v>129</v>
      </c>
      <c r="D169" t="s">
        <v>71</v>
      </c>
      <c r="E169">
        <v>10000</v>
      </c>
      <c r="F169" t="s">
        <v>72</v>
      </c>
      <c r="G169" t="s">
        <v>73</v>
      </c>
      <c r="H169" t="s">
        <v>96</v>
      </c>
      <c r="I169" t="str">
        <f t="shared" si="9"/>
        <v>2026-09</v>
      </c>
      <c r="J169" t="str">
        <f ca="1">IFERROR(_xludf.XLOOKUP(C169,'Agent Master'!$A:$A,'Agent Master'!$B:$B,"Missing"),"Missing")</f>
        <v>Missing</v>
      </c>
      <c r="K169" t="str">
        <f ca="1">IFERROR(_xludf.XLOOKUP(C169,'Agent Master'!$A:$A,'Agent Master'!$C:$C,"Missing"),"Missing")</f>
        <v>Missing</v>
      </c>
      <c r="L169" t="str">
        <f t="shared" si="10"/>
        <v>September</v>
      </c>
      <c r="M169" t="str">
        <f>_xlfn.XLOOKUP('Transaction Data'!D169,ProductMap[Product Code],ProductMap[Product Name])</f>
        <v>AEPS</v>
      </c>
      <c r="N169" t="str">
        <f t="shared" si="11"/>
        <v>2026-09</v>
      </c>
      <c r="O169" t="str" cm="1">
        <f t="array" ref="O169">IFERROR(_xlfn.XLOOKUP(C169,AgentMaster[[#All],[Agent ID]],AgentMaster[[#All],[Agent Name]]),"")</f>
        <v>Agent 135</v>
      </c>
      <c r="P169">
        <f t="shared" si="12"/>
        <v>19</v>
      </c>
    </row>
    <row r="170" spans="1:16" x14ac:dyDescent="0.3">
      <c r="A170" t="s">
        <v>292</v>
      </c>
      <c r="B170" s="5">
        <v>46249</v>
      </c>
      <c r="C170" t="s">
        <v>157</v>
      </c>
      <c r="D170" t="s">
        <v>110</v>
      </c>
      <c r="E170">
        <v>500</v>
      </c>
      <c r="F170" t="s">
        <v>72</v>
      </c>
      <c r="G170" t="s">
        <v>84</v>
      </c>
      <c r="H170" t="s">
        <v>74</v>
      </c>
      <c r="I170" t="str">
        <f t="shared" si="9"/>
        <v>2026-08</v>
      </c>
      <c r="J170" t="str">
        <f ca="1">IFERROR(_xludf.XLOOKUP(C170,'Agent Master'!$A:$A,'Agent Master'!$B:$B,"Missing"),"Missing")</f>
        <v>Missing</v>
      </c>
      <c r="K170" t="str">
        <f ca="1">IFERROR(_xludf.XLOOKUP(C170,'Agent Master'!$A:$A,'Agent Master'!$C:$C,"Missing"),"Missing")</f>
        <v>Missing</v>
      </c>
      <c r="L170" t="str">
        <f t="shared" si="10"/>
        <v>August</v>
      </c>
      <c r="M170" t="str">
        <f>_xlfn.XLOOKUP('Transaction Data'!D170,ProductMap[Product Code],ProductMap[Product Name])</f>
        <v>DMT</v>
      </c>
      <c r="N170" t="str">
        <f t="shared" si="11"/>
        <v>2026-08</v>
      </c>
      <c r="O170" t="str" cm="1">
        <f t="array" ref="O170">IFERROR(_xlfn.XLOOKUP(C170,AgentMaster[[#All],[Agent ID]],AgentMaster[[#All],[Agent Name]]),"")</f>
        <v>Agent 106</v>
      </c>
      <c r="P170">
        <f t="shared" si="12"/>
        <v>8</v>
      </c>
    </row>
    <row r="171" spans="1:16" x14ac:dyDescent="0.3">
      <c r="A171" t="s">
        <v>293</v>
      </c>
      <c r="B171" s="5">
        <v>46279</v>
      </c>
      <c r="C171" t="s">
        <v>193</v>
      </c>
      <c r="D171" t="s">
        <v>71</v>
      </c>
      <c r="E171">
        <v>250</v>
      </c>
      <c r="F171" t="s">
        <v>72</v>
      </c>
      <c r="G171" t="s">
        <v>73</v>
      </c>
      <c r="H171" t="s">
        <v>96</v>
      </c>
      <c r="I171" t="str">
        <f t="shared" si="9"/>
        <v>2026-09</v>
      </c>
      <c r="J171" t="str">
        <f ca="1">IFERROR(_xludf.XLOOKUP(C171,'Agent Master'!$A:$A,'Agent Master'!$B:$B,"Missing"),"Missing")</f>
        <v>Missing</v>
      </c>
      <c r="K171" t="str">
        <f ca="1">IFERROR(_xludf.XLOOKUP(C171,'Agent Master'!$A:$A,'Agent Master'!$C:$C,"Missing"),"Missing")</f>
        <v>Missing</v>
      </c>
      <c r="L171" t="str">
        <f t="shared" si="10"/>
        <v>September</v>
      </c>
      <c r="M171" t="str">
        <f>_xlfn.XLOOKUP('Transaction Data'!D171,ProductMap[Product Code],ProductMap[Product Name])</f>
        <v>AEPS</v>
      </c>
      <c r="N171" t="str">
        <f t="shared" si="11"/>
        <v>2026-09</v>
      </c>
      <c r="O171" t="str" cm="1">
        <f t="array" ref="O171">IFERROR(_xlfn.XLOOKUP(C171,AgentMaster[[#All],[Agent ID]],AgentMaster[[#All],[Agent Name]]),"")</f>
        <v>Agent 120</v>
      </c>
      <c r="P171">
        <f t="shared" si="12"/>
        <v>8</v>
      </c>
    </row>
    <row r="172" spans="1:16" x14ac:dyDescent="0.3">
      <c r="A172" t="s">
        <v>294</v>
      </c>
      <c r="B172" s="5">
        <v>46257</v>
      </c>
      <c r="C172" t="s">
        <v>122</v>
      </c>
      <c r="D172" t="s">
        <v>110</v>
      </c>
      <c r="E172">
        <v>750</v>
      </c>
      <c r="F172" t="s">
        <v>72</v>
      </c>
      <c r="G172" t="s">
        <v>73</v>
      </c>
      <c r="H172" t="s">
        <v>78</v>
      </c>
      <c r="I172" t="str">
        <f t="shared" si="9"/>
        <v>2026-08</v>
      </c>
      <c r="J172" t="str">
        <f ca="1">IFERROR(_xludf.XLOOKUP(C172,'Agent Master'!$A:$A,'Agent Master'!$B:$B,"Missing"),"Missing")</f>
        <v>Missing</v>
      </c>
      <c r="K172" t="str">
        <f ca="1">IFERROR(_xludf.XLOOKUP(C172,'Agent Master'!$A:$A,'Agent Master'!$C:$C,"Missing"),"Missing")</f>
        <v>Missing</v>
      </c>
      <c r="L172" t="str">
        <f t="shared" si="10"/>
        <v>August</v>
      </c>
      <c r="M172" t="str">
        <f>_xlfn.XLOOKUP('Transaction Data'!D172,ProductMap[Product Code],ProductMap[Product Name])</f>
        <v>DMT</v>
      </c>
      <c r="N172" t="str">
        <f t="shared" si="11"/>
        <v>2026-08</v>
      </c>
      <c r="O172" t="str" cm="1">
        <f t="array" ref="O172">IFERROR(_xlfn.XLOOKUP(C172,AgentMaster[[#All],[Agent ID]],AgentMaster[[#All],[Agent Name]]),"")</f>
        <v>Agent 124</v>
      </c>
      <c r="P172">
        <f t="shared" si="12"/>
        <v>11</v>
      </c>
    </row>
    <row r="173" spans="1:16" x14ac:dyDescent="0.3">
      <c r="A173" t="s">
        <v>295</v>
      </c>
      <c r="B173" s="5">
        <v>46271</v>
      </c>
      <c r="C173" t="s">
        <v>178</v>
      </c>
      <c r="D173" t="s">
        <v>90</v>
      </c>
      <c r="E173">
        <v>750</v>
      </c>
      <c r="F173" t="s">
        <v>72</v>
      </c>
      <c r="G173" t="s">
        <v>73</v>
      </c>
      <c r="H173" t="s">
        <v>78</v>
      </c>
      <c r="I173" t="str">
        <f t="shared" si="9"/>
        <v>2026-09</v>
      </c>
      <c r="J173" t="str">
        <f ca="1">IFERROR(_xludf.XLOOKUP(C173,'Agent Master'!$A:$A,'Agent Master'!$B:$B,"Missing"),"Missing")</f>
        <v>Missing</v>
      </c>
      <c r="K173" t="str">
        <f ca="1">IFERROR(_xludf.XLOOKUP(C173,'Agent Master'!$A:$A,'Agent Master'!$C:$C,"Missing"),"Missing")</f>
        <v>Missing</v>
      </c>
      <c r="L173" t="str">
        <f t="shared" si="10"/>
        <v>September</v>
      </c>
      <c r="M173" t="str">
        <f>_xlfn.XLOOKUP('Transaction Data'!D173,ProductMap[Product Code],ProductMap[Product Name])</f>
        <v>UPI</v>
      </c>
      <c r="N173" t="str">
        <f t="shared" si="11"/>
        <v>2026-09</v>
      </c>
      <c r="O173" t="str" cm="1">
        <f t="array" ref="O173">IFERROR(_xlfn.XLOOKUP(C173,AgentMaster[[#All],[Agent ID]],AgentMaster[[#All],[Agent Name]]),"")</f>
        <v>Agent 112</v>
      </c>
      <c r="P173">
        <f t="shared" si="12"/>
        <v>7</v>
      </c>
    </row>
    <row r="174" spans="1:16" x14ac:dyDescent="0.3">
      <c r="A174" t="s">
        <v>296</v>
      </c>
      <c r="B174" s="5">
        <v>46274</v>
      </c>
      <c r="C174" t="s">
        <v>104</v>
      </c>
      <c r="D174" t="s">
        <v>110</v>
      </c>
      <c r="E174">
        <v>10000</v>
      </c>
      <c r="F174" t="s">
        <v>72</v>
      </c>
      <c r="G174" t="s">
        <v>73</v>
      </c>
      <c r="H174" t="s">
        <v>78</v>
      </c>
      <c r="I174" t="str">
        <f t="shared" si="9"/>
        <v>2026-09</v>
      </c>
      <c r="J174" t="str">
        <f ca="1">IFERROR(_xludf.XLOOKUP(C174,'Agent Master'!$A:$A,'Agent Master'!$B:$B,"Missing"),"Missing")</f>
        <v>Missing</v>
      </c>
      <c r="K174" t="str">
        <f ca="1">IFERROR(_xludf.XLOOKUP(C174,'Agent Master'!$A:$A,'Agent Master'!$C:$C,"Missing"),"Missing")</f>
        <v>Missing</v>
      </c>
      <c r="L174" t="str">
        <f t="shared" si="10"/>
        <v>September</v>
      </c>
      <c r="M174" t="str">
        <f>_xlfn.XLOOKUP('Transaction Data'!D174,ProductMap[Product Code],ProductMap[Product Name])</f>
        <v>DMT</v>
      </c>
      <c r="N174" t="str">
        <f t="shared" si="11"/>
        <v>2026-09</v>
      </c>
      <c r="O174" t="str" cm="1">
        <f t="array" ref="O174">IFERROR(_xlfn.XLOOKUP(C174,AgentMaster[[#All],[Agent ID]],AgentMaster[[#All],[Agent Name]]),"")</f>
        <v>Agent 116</v>
      </c>
      <c r="P174">
        <f t="shared" si="12"/>
        <v>15</v>
      </c>
    </row>
    <row r="175" spans="1:16" x14ac:dyDescent="0.3">
      <c r="A175" t="s">
        <v>297</v>
      </c>
      <c r="B175" s="5">
        <v>46275</v>
      </c>
      <c r="C175" t="s">
        <v>159</v>
      </c>
      <c r="D175" t="s">
        <v>110</v>
      </c>
      <c r="E175">
        <v>1500</v>
      </c>
      <c r="F175" t="s">
        <v>72</v>
      </c>
      <c r="G175" t="s">
        <v>84</v>
      </c>
      <c r="H175" t="s">
        <v>96</v>
      </c>
      <c r="I175" t="str">
        <f t="shared" si="9"/>
        <v>2026-09</v>
      </c>
      <c r="J175" t="str">
        <f ca="1">IFERROR(_xludf.XLOOKUP(C175,'Agent Master'!$A:$A,'Agent Master'!$B:$B,"Missing"),"Missing")</f>
        <v>Missing</v>
      </c>
      <c r="K175" t="str">
        <f ca="1">IFERROR(_xludf.XLOOKUP(C175,'Agent Master'!$A:$A,'Agent Master'!$C:$C,"Missing"),"Missing")</f>
        <v>Missing</v>
      </c>
      <c r="L175" t="str">
        <f t="shared" si="10"/>
        <v>September</v>
      </c>
      <c r="M175" t="str">
        <f>_xlfn.XLOOKUP('Transaction Data'!D175,ProductMap[Product Code],ProductMap[Product Name])</f>
        <v>DMT</v>
      </c>
      <c r="N175" t="str">
        <f t="shared" si="11"/>
        <v>2026-09</v>
      </c>
      <c r="O175" t="str" cm="1">
        <f t="array" ref="O175">IFERROR(_xlfn.XLOOKUP(C175,AgentMaster[[#All],[Agent ID]],AgentMaster[[#All],[Agent Name]]),"")</f>
        <v>Agent 117</v>
      </c>
      <c r="P175">
        <f t="shared" si="12"/>
        <v>12</v>
      </c>
    </row>
    <row r="176" spans="1:16" x14ac:dyDescent="0.3">
      <c r="A176" t="s">
        <v>298</v>
      </c>
      <c r="B176" s="5">
        <v>46278</v>
      </c>
      <c r="C176" t="s">
        <v>129</v>
      </c>
      <c r="D176" t="s">
        <v>90</v>
      </c>
      <c r="E176">
        <v>500</v>
      </c>
      <c r="F176" t="s">
        <v>72</v>
      </c>
      <c r="G176" t="s">
        <v>84</v>
      </c>
      <c r="H176" t="s">
        <v>96</v>
      </c>
      <c r="I176" t="str">
        <f t="shared" si="9"/>
        <v>2026-09</v>
      </c>
      <c r="J176" t="str">
        <f ca="1">IFERROR(_xludf.XLOOKUP(C176,'Agent Master'!$A:$A,'Agent Master'!$B:$B,"Missing"),"Missing")</f>
        <v>Missing</v>
      </c>
      <c r="K176" t="str">
        <f ca="1">IFERROR(_xludf.XLOOKUP(C176,'Agent Master'!$A:$A,'Agent Master'!$C:$C,"Missing"),"Missing")</f>
        <v>Missing</v>
      </c>
      <c r="L176" t="str">
        <f t="shared" si="10"/>
        <v>September</v>
      </c>
      <c r="M176" t="str">
        <f>_xlfn.XLOOKUP('Transaction Data'!D176,ProductMap[Product Code],ProductMap[Product Name])</f>
        <v>UPI</v>
      </c>
      <c r="N176" t="str">
        <f t="shared" si="11"/>
        <v>2026-09</v>
      </c>
      <c r="O176" t="str" cm="1">
        <f t="array" ref="O176">IFERROR(_xlfn.XLOOKUP(C176,AgentMaster[[#All],[Agent ID]],AgentMaster[[#All],[Agent Name]]),"")</f>
        <v>Agent 135</v>
      </c>
      <c r="P176">
        <f t="shared" si="12"/>
        <v>19</v>
      </c>
    </row>
    <row r="177" spans="1:16" x14ac:dyDescent="0.3">
      <c r="A177" t="s">
        <v>299</v>
      </c>
      <c r="B177" s="5">
        <v>46275</v>
      </c>
      <c r="C177" t="s">
        <v>139</v>
      </c>
      <c r="D177" t="s">
        <v>77</v>
      </c>
      <c r="E177">
        <v>1500</v>
      </c>
      <c r="F177" t="s">
        <v>72</v>
      </c>
      <c r="G177" t="s">
        <v>84</v>
      </c>
      <c r="H177" t="s">
        <v>74</v>
      </c>
      <c r="I177" t="str">
        <f t="shared" si="9"/>
        <v>2026-09</v>
      </c>
      <c r="J177" t="str">
        <f ca="1">IFERROR(_xludf.XLOOKUP(C177,'Agent Master'!$A:$A,'Agent Master'!$B:$B,"Missing"),"Missing")</f>
        <v>Missing</v>
      </c>
      <c r="K177" t="str">
        <f ca="1">IFERROR(_xludf.XLOOKUP(C177,'Agent Master'!$A:$A,'Agent Master'!$C:$C,"Missing"),"Missing")</f>
        <v>Missing</v>
      </c>
      <c r="L177" t="str">
        <f t="shared" si="10"/>
        <v>September</v>
      </c>
      <c r="M177" t="str">
        <f>_xlfn.XLOOKUP('Transaction Data'!D177,ProductMap[Product Code],ProductMap[Product Name])</f>
        <v>MATM</v>
      </c>
      <c r="N177" t="str">
        <f t="shared" si="11"/>
        <v>2026-09</v>
      </c>
      <c r="O177" t="str" cm="1">
        <f t="array" ref="O177">IFERROR(_xlfn.XLOOKUP(C177,AgentMaster[[#All],[Agent ID]],AgentMaster[[#All],[Agent Name]]),"")</f>
        <v>Agent 128</v>
      </c>
      <c r="P177">
        <f t="shared" si="12"/>
        <v>16</v>
      </c>
    </row>
    <row r="178" spans="1:16" x14ac:dyDescent="0.3">
      <c r="A178" t="s">
        <v>300</v>
      </c>
      <c r="B178" s="5">
        <v>46259</v>
      </c>
      <c r="C178" t="s">
        <v>127</v>
      </c>
      <c r="D178" t="s">
        <v>71</v>
      </c>
      <c r="E178">
        <v>1000</v>
      </c>
      <c r="F178" t="s">
        <v>72</v>
      </c>
      <c r="G178" t="s">
        <v>73</v>
      </c>
      <c r="H178" t="s">
        <v>96</v>
      </c>
      <c r="I178" t="str">
        <f t="shared" si="9"/>
        <v>2026-08</v>
      </c>
      <c r="J178" t="str">
        <f ca="1">IFERROR(_xludf.XLOOKUP(C178,'Agent Master'!$A:$A,'Agent Master'!$B:$B,"Missing"),"Missing")</f>
        <v>Missing</v>
      </c>
      <c r="K178" t="str">
        <f ca="1">IFERROR(_xludf.XLOOKUP(C178,'Agent Master'!$A:$A,'Agent Master'!$C:$C,"Missing"),"Missing")</f>
        <v>Missing</v>
      </c>
      <c r="L178" t="str">
        <f t="shared" si="10"/>
        <v>August</v>
      </c>
      <c r="M178" t="str">
        <f>_xlfn.XLOOKUP('Transaction Data'!D178,ProductMap[Product Code],ProductMap[Product Name])</f>
        <v>AEPS</v>
      </c>
      <c r="N178" t="str">
        <f t="shared" si="11"/>
        <v>2026-08</v>
      </c>
      <c r="O178" t="str" cm="1">
        <f t="array" ref="O178">IFERROR(_xlfn.XLOOKUP(C178,AgentMaster[[#All],[Agent ID]],AgentMaster[[#All],[Agent Name]]),"")</f>
        <v>Agent 131</v>
      </c>
      <c r="P178">
        <f t="shared" si="12"/>
        <v>11</v>
      </c>
    </row>
    <row r="179" spans="1:16" x14ac:dyDescent="0.3">
      <c r="A179" t="s">
        <v>301</v>
      </c>
      <c r="B179" s="5">
        <v>46271</v>
      </c>
      <c r="C179" t="s">
        <v>242</v>
      </c>
      <c r="D179" t="s">
        <v>77</v>
      </c>
      <c r="E179">
        <v>1500</v>
      </c>
      <c r="F179" t="s">
        <v>72</v>
      </c>
      <c r="G179" t="s">
        <v>73</v>
      </c>
      <c r="H179" t="s">
        <v>78</v>
      </c>
      <c r="I179" t="str">
        <f t="shared" si="9"/>
        <v>2026-09</v>
      </c>
      <c r="J179" t="str">
        <f ca="1">IFERROR(_xludf.XLOOKUP(C179,'Agent Master'!$A:$A,'Agent Master'!$B:$B,"Missing"),"Missing")</f>
        <v>Missing</v>
      </c>
      <c r="K179" t="str">
        <f ca="1">IFERROR(_xludf.XLOOKUP(C179,'Agent Master'!$A:$A,'Agent Master'!$C:$C,"Missing"),"Missing")</f>
        <v>Missing</v>
      </c>
      <c r="L179" t="str">
        <f t="shared" si="10"/>
        <v>September</v>
      </c>
      <c r="M179" t="str">
        <f>_xlfn.XLOOKUP('Transaction Data'!D179,ProductMap[Product Code],ProductMap[Product Name])</f>
        <v>MATM</v>
      </c>
      <c r="N179" t="str">
        <f t="shared" si="11"/>
        <v>2026-09</v>
      </c>
      <c r="O179" t="str" cm="1">
        <f t="array" ref="O179">IFERROR(_xlfn.XLOOKUP(C179,AgentMaster[[#All],[Agent ID]],AgentMaster[[#All],[Agent Name]]),"")</f>
        <v>Agent 119</v>
      </c>
      <c r="P179">
        <f t="shared" si="12"/>
        <v>13</v>
      </c>
    </row>
    <row r="180" spans="1:16" x14ac:dyDescent="0.3">
      <c r="A180" t="s">
        <v>302</v>
      </c>
      <c r="B180" s="5">
        <v>46252</v>
      </c>
      <c r="C180" t="s">
        <v>117</v>
      </c>
      <c r="D180" t="s">
        <v>95</v>
      </c>
      <c r="E180">
        <v>12500</v>
      </c>
      <c r="F180" t="s">
        <v>72</v>
      </c>
      <c r="G180" t="s">
        <v>73</v>
      </c>
      <c r="H180" t="s">
        <v>78</v>
      </c>
      <c r="I180" t="str">
        <f t="shared" si="9"/>
        <v>2026-08</v>
      </c>
      <c r="J180" t="str">
        <f ca="1">IFERROR(_xludf.XLOOKUP(C180,'Agent Master'!$A:$A,'Agent Master'!$B:$B,"Missing"),"Missing")</f>
        <v>Missing</v>
      </c>
      <c r="K180" t="str">
        <f ca="1">IFERROR(_xludf.XLOOKUP(C180,'Agent Master'!$A:$A,'Agent Master'!$C:$C,"Missing"),"Missing")</f>
        <v>Missing</v>
      </c>
      <c r="L180" t="str">
        <f t="shared" si="10"/>
        <v>August</v>
      </c>
      <c r="M180" t="str">
        <f>_xlfn.XLOOKUP('Transaction Data'!D180,ProductMap[Product Code],ProductMap[Product Name])</f>
        <v>BBPS</v>
      </c>
      <c r="N180" t="str">
        <f t="shared" si="11"/>
        <v>2026-08</v>
      </c>
      <c r="O180" t="str" cm="1">
        <f t="array" ref="O180">IFERROR(_xlfn.XLOOKUP(C180,AgentMaster[[#All],[Agent ID]],AgentMaster[[#All],[Agent Name]]),"")</f>
        <v>Agent 101</v>
      </c>
      <c r="P180">
        <f t="shared" si="12"/>
        <v>6</v>
      </c>
    </row>
    <row r="181" spans="1:16" x14ac:dyDescent="0.3">
      <c r="A181" t="s">
        <v>303</v>
      </c>
      <c r="B181" s="5">
        <v>46288</v>
      </c>
      <c r="C181" t="s">
        <v>242</v>
      </c>
      <c r="D181" t="s">
        <v>90</v>
      </c>
      <c r="E181">
        <v>10000</v>
      </c>
      <c r="F181" t="s">
        <v>72</v>
      </c>
      <c r="G181" t="s">
        <v>73</v>
      </c>
      <c r="H181" t="s">
        <v>74</v>
      </c>
      <c r="I181" t="str">
        <f t="shared" si="9"/>
        <v>2026-09</v>
      </c>
      <c r="J181" t="str">
        <f ca="1">IFERROR(_xludf.XLOOKUP(C181,'Agent Master'!$A:$A,'Agent Master'!$B:$B,"Missing"),"Missing")</f>
        <v>Missing</v>
      </c>
      <c r="K181" t="str">
        <f ca="1">IFERROR(_xludf.XLOOKUP(C181,'Agent Master'!$A:$A,'Agent Master'!$C:$C,"Missing"),"Missing")</f>
        <v>Missing</v>
      </c>
      <c r="L181" t="str">
        <f t="shared" si="10"/>
        <v>September</v>
      </c>
      <c r="M181" t="str">
        <f>_xlfn.XLOOKUP('Transaction Data'!D181,ProductMap[Product Code],ProductMap[Product Name])</f>
        <v>UPI</v>
      </c>
      <c r="N181" t="str">
        <f t="shared" si="11"/>
        <v>2026-09</v>
      </c>
      <c r="O181" t="str" cm="1">
        <f t="array" ref="O181">IFERROR(_xlfn.XLOOKUP(C181,AgentMaster[[#All],[Agent ID]],AgentMaster[[#All],[Agent Name]]),"")</f>
        <v>Agent 119</v>
      </c>
      <c r="P181">
        <f t="shared" si="12"/>
        <v>13</v>
      </c>
    </row>
    <row r="182" spans="1:16" x14ac:dyDescent="0.3">
      <c r="A182" t="s">
        <v>304</v>
      </c>
      <c r="B182" s="5">
        <v>46274</v>
      </c>
      <c r="C182" t="s">
        <v>159</v>
      </c>
      <c r="D182" t="s">
        <v>77</v>
      </c>
      <c r="E182">
        <v>20000</v>
      </c>
      <c r="F182" t="s">
        <v>72</v>
      </c>
      <c r="G182" t="s">
        <v>73</v>
      </c>
      <c r="H182" t="s">
        <v>81</v>
      </c>
      <c r="I182" t="str">
        <f t="shared" si="9"/>
        <v>2026-09</v>
      </c>
      <c r="J182" t="str">
        <f ca="1">IFERROR(_xludf.XLOOKUP(C182,'Agent Master'!$A:$A,'Agent Master'!$B:$B,"Missing"),"Missing")</f>
        <v>Missing</v>
      </c>
      <c r="K182" t="str">
        <f ca="1">IFERROR(_xludf.XLOOKUP(C182,'Agent Master'!$A:$A,'Agent Master'!$C:$C,"Missing"),"Missing")</f>
        <v>Missing</v>
      </c>
      <c r="L182" t="str">
        <f t="shared" si="10"/>
        <v>September</v>
      </c>
      <c r="M182" t="str">
        <f>_xlfn.XLOOKUP('Transaction Data'!D182,ProductMap[Product Code],ProductMap[Product Name])</f>
        <v>MATM</v>
      </c>
      <c r="N182" t="str">
        <f t="shared" si="11"/>
        <v>2026-09</v>
      </c>
      <c r="O182" t="str" cm="1">
        <f t="array" ref="O182">IFERROR(_xlfn.XLOOKUP(C182,AgentMaster[[#All],[Agent ID]],AgentMaster[[#All],[Agent Name]]),"")</f>
        <v>Agent 117</v>
      </c>
      <c r="P182">
        <f t="shared" si="12"/>
        <v>12</v>
      </c>
    </row>
    <row r="183" spans="1:16" x14ac:dyDescent="0.3">
      <c r="A183" t="s">
        <v>305</v>
      </c>
      <c r="B183" s="5">
        <v>46292</v>
      </c>
      <c r="C183" t="s">
        <v>98</v>
      </c>
      <c r="D183" t="s">
        <v>77</v>
      </c>
      <c r="E183">
        <v>250</v>
      </c>
      <c r="F183" t="s">
        <v>72</v>
      </c>
      <c r="G183" t="s">
        <v>84</v>
      </c>
      <c r="H183" t="s">
        <v>81</v>
      </c>
      <c r="I183" t="str">
        <f t="shared" si="9"/>
        <v>2026-09</v>
      </c>
      <c r="J183" t="str">
        <f ca="1">IFERROR(_xludf.XLOOKUP(C183,'Agent Master'!$A:$A,'Agent Master'!$B:$B,"Missing"),"Missing")</f>
        <v>Missing</v>
      </c>
      <c r="K183" t="str">
        <f ca="1">IFERROR(_xludf.XLOOKUP(C183,'Agent Master'!$A:$A,'Agent Master'!$C:$C,"Missing"),"Missing")</f>
        <v>Missing</v>
      </c>
      <c r="L183" t="str">
        <f t="shared" si="10"/>
        <v>September</v>
      </c>
      <c r="M183" t="str">
        <f>_xlfn.XLOOKUP('Transaction Data'!D183,ProductMap[Product Code],ProductMap[Product Name])</f>
        <v>MATM</v>
      </c>
      <c r="N183" t="str">
        <f t="shared" si="11"/>
        <v>2026-09</v>
      </c>
      <c r="O183" t="str" cm="1">
        <f t="array" ref="O183">IFERROR(_xlfn.XLOOKUP(C183,AgentMaster[[#All],[Agent ID]],AgentMaster[[#All],[Agent Name]]),"")</f>
        <v/>
      </c>
      <c r="P183">
        <f t="shared" si="12"/>
        <v>25</v>
      </c>
    </row>
    <row r="184" spans="1:16" x14ac:dyDescent="0.3">
      <c r="A184" t="s">
        <v>306</v>
      </c>
      <c r="B184" s="5">
        <v>46272</v>
      </c>
      <c r="C184" t="s">
        <v>122</v>
      </c>
      <c r="D184" t="s">
        <v>77</v>
      </c>
      <c r="E184">
        <v>750</v>
      </c>
      <c r="F184" t="s">
        <v>72</v>
      </c>
      <c r="G184" t="s">
        <v>84</v>
      </c>
      <c r="H184" t="s">
        <v>96</v>
      </c>
      <c r="I184" t="str">
        <f t="shared" si="9"/>
        <v>2026-09</v>
      </c>
      <c r="J184" t="str">
        <f ca="1">IFERROR(_xludf.XLOOKUP(C184,'Agent Master'!$A:$A,'Agent Master'!$B:$B,"Missing"),"Missing")</f>
        <v>Missing</v>
      </c>
      <c r="K184" t="str">
        <f ca="1">IFERROR(_xludf.XLOOKUP(C184,'Agent Master'!$A:$A,'Agent Master'!$C:$C,"Missing"),"Missing")</f>
        <v>Missing</v>
      </c>
      <c r="L184" t="str">
        <f t="shared" si="10"/>
        <v>September</v>
      </c>
      <c r="M184" t="str">
        <f>_xlfn.XLOOKUP('Transaction Data'!D184,ProductMap[Product Code],ProductMap[Product Name])</f>
        <v>MATM</v>
      </c>
      <c r="N184" t="str">
        <f t="shared" si="11"/>
        <v>2026-09</v>
      </c>
      <c r="O184" t="str" cm="1">
        <f t="array" ref="O184">IFERROR(_xlfn.XLOOKUP(C184,AgentMaster[[#All],[Agent ID]],AgentMaster[[#All],[Agent Name]]),"")</f>
        <v>Agent 124</v>
      </c>
      <c r="P184">
        <f t="shared" si="12"/>
        <v>11</v>
      </c>
    </row>
    <row r="185" spans="1:16" x14ac:dyDescent="0.3">
      <c r="A185" t="s">
        <v>307</v>
      </c>
      <c r="B185" s="5">
        <v>46282</v>
      </c>
      <c r="C185" t="s">
        <v>180</v>
      </c>
      <c r="D185" t="s">
        <v>90</v>
      </c>
      <c r="E185">
        <v>1000</v>
      </c>
      <c r="F185" t="s">
        <v>72</v>
      </c>
      <c r="G185" t="s">
        <v>73</v>
      </c>
      <c r="H185" t="s">
        <v>96</v>
      </c>
      <c r="I185" t="str">
        <f t="shared" si="9"/>
        <v>2026-09</v>
      </c>
      <c r="J185" t="str">
        <f ca="1">IFERROR(_xludf.XLOOKUP(C185,'Agent Master'!$A:$A,'Agent Master'!$B:$B,"Missing"),"Missing")</f>
        <v>Missing</v>
      </c>
      <c r="K185" t="str">
        <f ca="1">IFERROR(_xludf.XLOOKUP(C185,'Agent Master'!$A:$A,'Agent Master'!$C:$C,"Missing"),"Missing")</f>
        <v>Missing</v>
      </c>
      <c r="L185" t="str">
        <f t="shared" si="10"/>
        <v>September</v>
      </c>
      <c r="M185" t="str">
        <f>_xlfn.XLOOKUP('Transaction Data'!D185,ProductMap[Product Code],ProductMap[Product Name])</f>
        <v>UPI</v>
      </c>
      <c r="N185" t="str">
        <f t="shared" si="11"/>
        <v>2026-09</v>
      </c>
      <c r="O185" t="str" cm="1">
        <f t="array" ref="O185">IFERROR(_xlfn.XLOOKUP(C185,AgentMaster[[#All],[Agent ID]],AgentMaster[[#All],[Agent Name]]),"")</f>
        <v>Agent 127</v>
      </c>
      <c r="P185">
        <f t="shared" si="12"/>
        <v>11</v>
      </c>
    </row>
    <row r="186" spans="1:16" x14ac:dyDescent="0.3">
      <c r="A186" t="s">
        <v>308</v>
      </c>
      <c r="B186" s="5">
        <v>46268</v>
      </c>
      <c r="C186" t="s">
        <v>154</v>
      </c>
      <c r="D186" t="s">
        <v>87</v>
      </c>
      <c r="E186">
        <v>750</v>
      </c>
      <c r="F186" t="s">
        <v>72</v>
      </c>
      <c r="G186" t="s">
        <v>84</v>
      </c>
      <c r="H186" t="s">
        <v>96</v>
      </c>
      <c r="I186" t="str">
        <f t="shared" si="9"/>
        <v>2026-09</v>
      </c>
      <c r="J186" t="str">
        <f ca="1">IFERROR(_xludf.XLOOKUP(C186,'Agent Master'!$A:$A,'Agent Master'!$B:$B,"Missing"),"Missing")</f>
        <v>Missing</v>
      </c>
      <c r="K186" t="str">
        <f ca="1">IFERROR(_xludf.XLOOKUP(C186,'Agent Master'!$A:$A,'Agent Master'!$C:$C,"Missing"),"Missing")</f>
        <v>Missing</v>
      </c>
      <c r="L186" t="str">
        <f t="shared" si="10"/>
        <v>September</v>
      </c>
      <c r="M186" t="str">
        <f>_xlfn.XLOOKUP('Transaction Data'!D186,ProductMap[Product Code],ProductMap[Product Name])</f>
        <v>APAY</v>
      </c>
      <c r="N186" t="str">
        <f t="shared" si="11"/>
        <v>2026-09</v>
      </c>
      <c r="O186" t="str" cm="1">
        <f t="array" ref="O186">IFERROR(_xlfn.XLOOKUP(C186,AgentMaster[[#All],[Agent ID]],AgentMaster[[#All],[Agent Name]]),"")</f>
        <v>Agent 133</v>
      </c>
      <c r="P186">
        <f t="shared" si="12"/>
        <v>9</v>
      </c>
    </row>
    <row r="187" spans="1:16" x14ac:dyDescent="0.3">
      <c r="A187" t="s">
        <v>309</v>
      </c>
      <c r="B187" s="5">
        <v>46282</v>
      </c>
      <c r="C187" t="s">
        <v>191</v>
      </c>
      <c r="D187" t="s">
        <v>71</v>
      </c>
      <c r="E187">
        <v>5000</v>
      </c>
      <c r="F187" t="s">
        <v>72</v>
      </c>
      <c r="G187" t="s">
        <v>73</v>
      </c>
      <c r="H187" t="s">
        <v>74</v>
      </c>
      <c r="I187" t="str">
        <f t="shared" si="9"/>
        <v>2026-09</v>
      </c>
      <c r="J187" t="str">
        <f ca="1">IFERROR(_xludf.XLOOKUP(C187,'Agent Master'!$A:$A,'Agent Master'!$B:$B,"Missing"),"Missing")</f>
        <v>Missing</v>
      </c>
      <c r="K187" t="str">
        <f ca="1">IFERROR(_xludf.XLOOKUP(C187,'Agent Master'!$A:$A,'Agent Master'!$C:$C,"Missing"),"Missing")</f>
        <v>Missing</v>
      </c>
      <c r="L187" t="str">
        <f t="shared" si="10"/>
        <v>September</v>
      </c>
      <c r="M187" t="str">
        <f>_xlfn.XLOOKUP('Transaction Data'!D187,ProductMap[Product Code],ProductMap[Product Name])</f>
        <v>AEPS</v>
      </c>
      <c r="N187" t="str">
        <f t="shared" si="11"/>
        <v>2026-09</v>
      </c>
      <c r="O187" t="str" cm="1">
        <f t="array" ref="O187">IFERROR(_xlfn.XLOOKUP(C187,AgentMaster[[#All],[Agent ID]],AgentMaster[[#All],[Agent Name]]),"")</f>
        <v>Agent 122</v>
      </c>
      <c r="P187">
        <f t="shared" si="12"/>
        <v>7</v>
      </c>
    </row>
    <row r="188" spans="1:16" x14ac:dyDescent="0.3">
      <c r="A188" t="s">
        <v>310</v>
      </c>
      <c r="B188" s="5">
        <v>46290</v>
      </c>
      <c r="C188" t="s">
        <v>141</v>
      </c>
      <c r="D188" t="s">
        <v>95</v>
      </c>
      <c r="E188">
        <v>2000</v>
      </c>
      <c r="F188" t="s">
        <v>72</v>
      </c>
      <c r="G188" t="s">
        <v>84</v>
      </c>
      <c r="H188" t="s">
        <v>81</v>
      </c>
      <c r="I188" t="str">
        <f t="shared" si="9"/>
        <v>2026-09</v>
      </c>
      <c r="J188" t="str">
        <f ca="1">IFERROR(_xludf.XLOOKUP(C188,'Agent Master'!$A:$A,'Agent Master'!$B:$B,"Missing"),"Missing")</f>
        <v>Missing</v>
      </c>
      <c r="K188" t="str">
        <f ca="1">IFERROR(_xludf.XLOOKUP(C188,'Agent Master'!$A:$A,'Agent Master'!$C:$C,"Missing"),"Missing")</f>
        <v>Missing</v>
      </c>
      <c r="L188" t="str">
        <f t="shared" si="10"/>
        <v>September</v>
      </c>
      <c r="M188" t="str">
        <f>_xlfn.XLOOKUP('Transaction Data'!D188,ProductMap[Product Code],ProductMap[Product Name])</f>
        <v>BBPS</v>
      </c>
      <c r="N188" t="str">
        <f t="shared" si="11"/>
        <v>2026-09</v>
      </c>
      <c r="O188" t="str" cm="1">
        <f t="array" ref="O188">IFERROR(_xlfn.XLOOKUP(C188,AgentMaster[[#All],[Agent ID]],AgentMaster[[#All],[Agent Name]]),"")</f>
        <v>Agent 126</v>
      </c>
      <c r="P188">
        <f t="shared" si="12"/>
        <v>11</v>
      </c>
    </row>
    <row r="189" spans="1:16" x14ac:dyDescent="0.3">
      <c r="A189" t="s">
        <v>311</v>
      </c>
      <c r="B189" s="5">
        <v>46251</v>
      </c>
      <c r="C189" t="s">
        <v>129</v>
      </c>
      <c r="D189" t="s">
        <v>71</v>
      </c>
      <c r="E189">
        <v>5000</v>
      </c>
      <c r="F189" t="s">
        <v>72</v>
      </c>
      <c r="G189" t="s">
        <v>73</v>
      </c>
      <c r="H189" t="s">
        <v>96</v>
      </c>
      <c r="I189" t="str">
        <f t="shared" si="9"/>
        <v>2026-08</v>
      </c>
      <c r="J189" t="str">
        <f ca="1">IFERROR(_xludf.XLOOKUP(C189,'Agent Master'!$A:$A,'Agent Master'!$B:$B,"Missing"),"Missing")</f>
        <v>Missing</v>
      </c>
      <c r="K189" t="str">
        <f ca="1">IFERROR(_xludf.XLOOKUP(C189,'Agent Master'!$A:$A,'Agent Master'!$C:$C,"Missing"),"Missing")</f>
        <v>Missing</v>
      </c>
      <c r="L189" t="str">
        <f t="shared" si="10"/>
        <v>August</v>
      </c>
      <c r="M189" t="str">
        <f>_xlfn.XLOOKUP('Transaction Data'!D189,ProductMap[Product Code],ProductMap[Product Name])</f>
        <v>AEPS</v>
      </c>
      <c r="N189" t="str">
        <f t="shared" si="11"/>
        <v>2026-08</v>
      </c>
      <c r="O189" t="str" cm="1">
        <f t="array" ref="O189">IFERROR(_xlfn.XLOOKUP(C189,AgentMaster[[#All],[Agent ID]],AgentMaster[[#All],[Agent Name]]),"")</f>
        <v>Agent 135</v>
      </c>
      <c r="P189">
        <f t="shared" si="12"/>
        <v>19</v>
      </c>
    </row>
    <row r="190" spans="1:16" x14ac:dyDescent="0.3">
      <c r="A190" t="s">
        <v>312</v>
      </c>
      <c r="B190" s="5">
        <v>46272</v>
      </c>
      <c r="C190" t="s">
        <v>147</v>
      </c>
      <c r="D190" t="s">
        <v>77</v>
      </c>
      <c r="E190">
        <v>2000</v>
      </c>
      <c r="F190" t="s">
        <v>72</v>
      </c>
      <c r="G190" t="s">
        <v>73</v>
      </c>
      <c r="H190" t="s">
        <v>74</v>
      </c>
      <c r="I190" t="str">
        <f t="shared" si="9"/>
        <v>2026-09</v>
      </c>
      <c r="J190" t="str">
        <f ca="1">IFERROR(_xludf.XLOOKUP(C190,'Agent Master'!$A:$A,'Agent Master'!$B:$B,"Missing"),"Missing")</f>
        <v>Missing</v>
      </c>
      <c r="K190" t="str">
        <f ca="1">IFERROR(_xludf.XLOOKUP(C190,'Agent Master'!$A:$A,'Agent Master'!$C:$C,"Missing"),"Missing")</f>
        <v>Missing</v>
      </c>
      <c r="L190" t="str">
        <f t="shared" si="10"/>
        <v>September</v>
      </c>
      <c r="M190" t="str">
        <f>_xlfn.XLOOKUP('Transaction Data'!D190,ProductMap[Product Code],ProductMap[Product Name])</f>
        <v>MATM</v>
      </c>
      <c r="N190" t="str">
        <f t="shared" si="11"/>
        <v>2026-09</v>
      </c>
      <c r="O190" t="str" cm="1">
        <f t="array" ref="O190">IFERROR(_xlfn.XLOOKUP(C190,AgentMaster[[#All],[Agent ID]],AgentMaster[[#All],[Agent Name]]),"")</f>
        <v>Agent 125</v>
      </c>
      <c r="P190">
        <f t="shared" si="12"/>
        <v>7</v>
      </c>
    </row>
    <row r="191" spans="1:16" x14ac:dyDescent="0.3">
      <c r="A191" t="s">
        <v>313</v>
      </c>
      <c r="B191" s="5">
        <v>46265</v>
      </c>
      <c r="C191" t="s">
        <v>80</v>
      </c>
      <c r="D191" t="s">
        <v>95</v>
      </c>
      <c r="E191">
        <v>7500</v>
      </c>
      <c r="F191" t="s">
        <v>72</v>
      </c>
      <c r="G191" t="s">
        <v>73</v>
      </c>
      <c r="H191" t="s">
        <v>74</v>
      </c>
      <c r="I191" t="str">
        <f t="shared" si="9"/>
        <v>2026-08</v>
      </c>
      <c r="J191" t="str">
        <f ca="1">IFERROR(_xludf.XLOOKUP(C191,'Agent Master'!$A:$A,'Agent Master'!$B:$B,"Missing"),"Missing")</f>
        <v>Missing</v>
      </c>
      <c r="K191" t="str">
        <f ca="1">IFERROR(_xludf.XLOOKUP(C191,'Agent Master'!$A:$A,'Agent Master'!$C:$C,"Missing"),"Missing")</f>
        <v>Missing</v>
      </c>
      <c r="L191" t="str">
        <f t="shared" si="10"/>
        <v>August</v>
      </c>
      <c r="M191" t="str">
        <f>_xlfn.XLOOKUP('Transaction Data'!D191,ProductMap[Product Code],ProductMap[Product Name])</f>
        <v>BBPS</v>
      </c>
      <c r="N191" t="str">
        <f t="shared" si="11"/>
        <v>2026-08</v>
      </c>
      <c r="O191" t="str" cm="1">
        <f t="array" ref="O191">IFERROR(_xlfn.XLOOKUP(C191,AgentMaster[[#All],[Agent ID]],AgentMaster[[#All],[Agent Name]]),"")</f>
        <v>Agent 102</v>
      </c>
      <c r="P191">
        <f t="shared" si="12"/>
        <v>13</v>
      </c>
    </row>
    <row r="192" spans="1:16" x14ac:dyDescent="0.3">
      <c r="A192" t="s">
        <v>314</v>
      </c>
      <c r="B192" s="5">
        <v>46276</v>
      </c>
      <c r="C192" t="s">
        <v>108</v>
      </c>
      <c r="D192" t="s">
        <v>77</v>
      </c>
      <c r="E192">
        <v>5000</v>
      </c>
      <c r="F192" t="s">
        <v>72</v>
      </c>
      <c r="G192" t="s">
        <v>73</v>
      </c>
      <c r="H192" t="s">
        <v>78</v>
      </c>
      <c r="I192" t="str">
        <f t="shared" si="9"/>
        <v>2026-09</v>
      </c>
      <c r="J192" t="str">
        <f ca="1">IFERROR(_xludf.XLOOKUP(C192,'Agent Master'!$A:$A,'Agent Master'!$B:$B,"Missing"),"Missing")</f>
        <v>Missing</v>
      </c>
      <c r="K192" t="str">
        <f ca="1">IFERROR(_xludf.XLOOKUP(C192,'Agent Master'!$A:$A,'Agent Master'!$C:$C,"Missing"),"Missing")</f>
        <v>Missing</v>
      </c>
      <c r="L192" t="str">
        <f t="shared" si="10"/>
        <v>September</v>
      </c>
      <c r="M192" t="str">
        <f>_xlfn.XLOOKUP('Transaction Data'!D192,ProductMap[Product Code],ProductMap[Product Name])</f>
        <v>MATM</v>
      </c>
      <c r="N192" t="str">
        <f t="shared" si="11"/>
        <v>2026-09</v>
      </c>
      <c r="O192" t="str" cm="1">
        <f t="array" ref="O192">IFERROR(_xlfn.XLOOKUP(C192,AgentMaster[[#All],[Agent ID]],AgentMaster[[#All],[Agent Name]]),"")</f>
        <v>Agent 105</v>
      </c>
      <c r="P192">
        <f t="shared" si="12"/>
        <v>8</v>
      </c>
    </row>
    <row r="193" spans="1:16" x14ac:dyDescent="0.3">
      <c r="A193" t="s">
        <v>315</v>
      </c>
      <c r="B193" s="5">
        <v>46242</v>
      </c>
      <c r="C193" t="s">
        <v>161</v>
      </c>
      <c r="D193" t="s">
        <v>71</v>
      </c>
      <c r="E193">
        <v>250</v>
      </c>
      <c r="F193" t="s">
        <v>72</v>
      </c>
      <c r="G193" t="s">
        <v>84</v>
      </c>
      <c r="H193" t="s">
        <v>81</v>
      </c>
      <c r="I193" t="str">
        <f t="shared" si="9"/>
        <v>2026-08</v>
      </c>
      <c r="J193" t="str">
        <f ca="1">IFERROR(_xludf.XLOOKUP(C193,'Agent Master'!$A:$A,'Agent Master'!$B:$B,"Missing"),"Missing")</f>
        <v>Missing</v>
      </c>
      <c r="K193" t="str">
        <f ca="1">IFERROR(_xludf.XLOOKUP(C193,'Agent Master'!$A:$A,'Agent Master'!$C:$C,"Missing"),"Missing")</f>
        <v>Missing</v>
      </c>
      <c r="L193" t="str">
        <f t="shared" si="10"/>
        <v>August</v>
      </c>
      <c r="M193" t="str">
        <f>_xlfn.XLOOKUP('Transaction Data'!D193,ProductMap[Product Code],ProductMap[Product Name])</f>
        <v>AEPS</v>
      </c>
      <c r="N193" t="str">
        <f t="shared" si="11"/>
        <v>2026-08</v>
      </c>
      <c r="O193" t="str" cm="1">
        <f t="array" ref="O193">IFERROR(_xlfn.XLOOKUP(C193,AgentMaster[[#All],[Agent ID]],AgentMaster[[#All],[Agent Name]]),"")</f>
        <v>Agent 109</v>
      </c>
      <c r="P193">
        <f t="shared" si="12"/>
        <v>16</v>
      </c>
    </row>
    <row r="194" spans="1:16" x14ac:dyDescent="0.3">
      <c r="A194" t="s">
        <v>316</v>
      </c>
      <c r="B194" s="5">
        <v>46241</v>
      </c>
      <c r="C194" t="s">
        <v>104</v>
      </c>
      <c r="D194" t="s">
        <v>95</v>
      </c>
      <c r="E194">
        <v>750</v>
      </c>
      <c r="F194" t="s">
        <v>72</v>
      </c>
      <c r="G194" t="s">
        <v>84</v>
      </c>
      <c r="H194" t="s">
        <v>96</v>
      </c>
      <c r="I194" t="str">
        <f t="shared" ref="I194:I257" si="13">TEXT(B194,"yyyy-mm")</f>
        <v>2026-08</v>
      </c>
      <c r="J194" t="str">
        <f ca="1">IFERROR(_xludf.XLOOKUP(C194,'Agent Master'!$A:$A,'Agent Master'!$B:$B,"Missing"),"Missing")</f>
        <v>Missing</v>
      </c>
      <c r="K194" t="str">
        <f ca="1">IFERROR(_xludf.XLOOKUP(C194,'Agent Master'!$A:$A,'Agent Master'!$C:$C,"Missing"),"Missing")</f>
        <v>Missing</v>
      </c>
      <c r="L194" t="str">
        <f t="shared" si="10"/>
        <v>August</v>
      </c>
      <c r="M194" t="str">
        <f>_xlfn.XLOOKUP('Transaction Data'!D194,ProductMap[Product Code],ProductMap[Product Name])</f>
        <v>BBPS</v>
      </c>
      <c r="N194" t="str">
        <f t="shared" si="11"/>
        <v>2026-08</v>
      </c>
      <c r="O194" t="str" cm="1">
        <f t="array" ref="O194">IFERROR(_xlfn.XLOOKUP(C194,AgentMaster[[#All],[Agent ID]],AgentMaster[[#All],[Agent Name]]),"")</f>
        <v>Agent 116</v>
      </c>
      <c r="P194">
        <f t="shared" si="12"/>
        <v>15</v>
      </c>
    </row>
    <row r="195" spans="1:16" x14ac:dyDescent="0.3">
      <c r="A195" t="s">
        <v>317</v>
      </c>
      <c r="B195" s="5">
        <v>46277</v>
      </c>
      <c r="C195" t="s">
        <v>129</v>
      </c>
      <c r="D195" t="s">
        <v>110</v>
      </c>
      <c r="E195">
        <v>10000</v>
      </c>
      <c r="F195" t="s">
        <v>72</v>
      </c>
      <c r="G195" t="s">
        <v>84</v>
      </c>
      <c r="H195" t="s">
        <v>81</v>
      </c>
      <c r="I195" t="str">
        <f t="shared" si="13"/>
        <v>2026-09</v>
      </c>
      <c r="J195" t="str">
        <f ca="1">IFERROR(_xludf.XLOOKUP(C195,'Agent Master'!$A:$A,'Agent Master'!$B:$B,"Missing"),"Missing")</f>
        <v>Missing</v>
      </c>
      <c r="K195" t="str">
        <f ca="1">IFERROR(_xludf.XLOOKUP(C195,'Agent Master'!$A:$A,'Agent Master'!$C:$C,"Missing"),"Missing")</f>
        <v>Missing</v>
      </c>
      <c r="L195" t="str">
        <f t="shared" ref="L195:L258" si="14">TEXT(B195,"mmmm")</f>
        <v>September</v>
      </c>
      <c r="M195" t="str">
        <f>_xlfn.XLOOKUP('Transaction Data'!D195,ProductMap[Product Code],ProductMap[Product Name])</f>
        <v>DMT</v>
      </c>
      <c r="N195" t="str">
        <f t="shared" ref="N195:N258" si="15">TEXT(B195,"yyyy-mm")</f>
        <v>2026-09</v>
      </c>
      <c r="O195" t="str" cm="1">
        <f t="array" ref="O195">IFERROR(_xlfn.XLOOKUP(C195,AgentMaster[[#All],[Agent ID]],AgentMaster[[#All],[Agent Name]]),"")</f>
        <v>Agent 135</v>
      </c>
      <c r="P195">
        <f t="shared" ref="P195:P258" si="16">COUNTIFS(O:O,O195,F:F,"Success")</f>
        <v>19</v>
      </c>
    </row>
    <row r="196" spans="1:16" x14ac:dyDescent="0.3">
      <c r="A196" t="s">
        <v>318</v>
      </c>
      <c r="B196" s="5">
        <v>46288</v>
      </c>
      <c r="C196" t="s">
        <v>136</v>
      </c>
      <c r="D196" t="s">
        <v>95</v>
      </c>
      <c r="E196">
        <v>2500</v>
      </c>
      <c r="F196" t="s">
        <v>72</v>
      </c>
      <c r="G196" t="s">
        <v>73</v>
      </c>
      <c r="H196" t="s">
        <v>96</v>
      </c>
      <c r="I196" t="str">
        <f t="shared" si="13"/>
        <v>2026-09</v>
      </c>
      <c r="J196" t="str">
        <f ca="1">IFERROR(_xludf.XLOOKUP(C196,'Agent Master'!$A:$A,'Agent Master'!$B:$B,"Missing"),"Missing")</f>
        <v>Missing</v>
      </c>
      <c r="K196" t="str">
        <f ca="1">IFERROR(_xludf.XLOOKUP(C196,'Agent Master'!$A:$A,'Agent Master'!$C:$C,"Missing"),"Missing")</f>
        <v>Missing</v>
      </c>
      <c r="L196" t="str">
        <f t="shared" si="14"/>
        <v>September</v>
      </c>
      <c r="M196" t="str">
        <f>_xlfn.XLOOKUP('Transaction Data'!D196,ProductMap[Product Code],ProductMap[Product Name])</f>
        <v>BBPS</v>
      </c>
      <c r="N196" t="str">
        <f t="shared" si="15"/>
        <v>2026-09</v>
      </c>
      <c r="O196" t="str" cm="1">
        <f t="array" ref="O196">IFERROR(_xlfn.XLOOKUP(C196,AgentMaster[[#All],[Agent ID]],AgentMaster[[#All],[Agent Name]]),"")</f>
        <v>Agent 132</v>
      </c>
      <c r="P196">
        <f t="shared" si="16"/>
        <v>8</v>
      </c>
    </row>
    <row r="197" spans="1:16" x14ac:dyDescent="0.3">
      <c r="A197" t="s">
        <v>319</v>
      </c>
      <c r="B197" s="5">
        <v>46248</v>
      </c>
      <c r="C197" t="s">
        <v>172</v>
      </c>
      <c r="D197" t="s">
        <v>110</v>
      </c>
      <c r="E197">
        <v>1000</v>
      </c>
      <c r="F197" t="s">
        <v>72</v>
      </c>
      <c r="G197" t="s">
        <v>73</v>
      </c>
      <c r="H197" t="s">
        <v>96</v>
      </c>
      <c r="I197" t="str">
        <f t="shared" si="13"/>
        <v>2026-08</v>
      </c>
      <c r="J197" t="str">
        <f ca="1">IFERROR(_xludf.XLOOKUP(C197,'Agent Master'!$A:$A,'Agent Master'!$B:$B,"Missing"),"Missing")</f>
        <v>Missing</v>
      </c>
      <c r="K197" t="str">
        <f ca="1">IFERROR(_xludf.XLOOKUP(C197,'Agent Master'!$A:$A,'Agent Master'!$C:$C,"Missing"),"Missing")</f>
        <v>Missing</v>
      </c>
      <c r="L197" t="str">
        <f t="shared" si="14"/>
        <v>August</v>
      </c>
      <c r="M197" t="str">
        <f>_xlfn.XLOOKUP('Transaction Data'!D197,ProductMap[Product Code],ProductMap[Product Name])</f>
        <v>DMT</v>
      </c>
      <c r="N197" t="str">
        <f t="shared" si="15"/>
        <v>2026-08</v>
      </c>
      <c r="O197" t="str" cm="1">
        <f t="array" ref="O197">IFERROR(_xlfn.XLOOKUP(C197,AgentMaster[[#All],[Agent ID]],AgentMaster[[#All],[Agent Name]]),"")</f>
        <v>Agent 129</v>
      </c>
      <c r="P197">
        <f t="shared" si="16"/>
        <v>18</v>
      </c>
    </row>
    <row r="198" spans="1:16" x14ac:dyDescent="0.3">
      <c r="A198" t="s">
        <v>320</v>
      </c>
      <c r="B198" s="5">
        <v>46269</v>
      </c>
      <c r="D198" t="s">
        <v>87</v>
      </c>
      <c r="E198">
        <v>250</v>
      </c>
      <c r="F198" t="s">
        <v>72</v>
      </c>
      <c r="G198" t="s">
        <v>84</v>
      </c>
      <c r="H198" t="s">
        <v>74</v>
      </c>
      <c r="I198" t="str">
        <f t="shared" si="13"/>
        <v>2026-09</v>
      </c>
      <c r="J198" t="str">
        <f ca="1">IFERROR(_xludf.XLOOKUP(C198,'Agent Master'!$A:$A,'Agent Master'!$B:$B,"Missing"),"Missing")</f>
        <v>Missing</v>
      </c>
      <c r="K198" t="str">
        <f ca="1">IFERROR(_xludf.XLOOKUP(C198,'Agent Master'!$A:$A,'Agent Master'!$C:$C,"Missing"),"Missing")</f>
        <v>Missing</v>
      </c>
      <c r="L198" t="str">
        <f t="shared" si="14"/>
        <v>September</v>
      </c>
      <c r="M198" t="str">
        <f>_xlfn.XLOOKUP('Transaction Data'!D198,ProductMap[Product Code],ProductMap[Product Name])</f>
        <v>APAY</v>
      </c>
      <c r="N198" t="str">
        <f t="shared" si="15"/>
        <v>2026-09</v>
      </c>
      <c r="O198" t="str" cm="1">
        <f t="array" ref="O198">IFERROR(_xlfn.XLOOKUP(C198,AgentMaster[[#All],[Agent ID]],AgentMaster[[#All],[Agent Name]]),"")</f>
        <v/>
      </c>
      <c r="P198">
        <f t="shared" si="16"/>
        <v>25</v>
      </c>
    </row>
    <row r="199" spans="1:16" x14ac:dyDescent="0.3">
      <c r="A199" t="s">
        <v>321</v>
      </c>
      <c r="B199" s="5">
        <v>46242</v>
      </c>
      <c r="C199" t="s">
        <v>94</v>
      </c>
      <c r="D199" t="s">
        <v>71</v>
      </c>
      <c r="E199">
        <v>12500</v>
      </c>
      <c r="F199" t="s">
        <v>72</v>
      </c>
      <c r="G199" t="s">
        <v>73</v>
      </c>
      <c r="H199" t="s">
        <v>81</v>
      </c>
      <c r="I199" t="str">
        <f t="shared" si="13"/>
        <v>2026-08</v>
      </c>
      <c r="J199" t="str">
        <f ca="1">IFERROR(_xludf.XLOOKUP(C199,'Agent Master'!$A:$A,'Agent Master'!$B:$B,"Missing"),"Missing")</f>
        <v>Missing</v>
      </c>
      <c r="K199" t="str">
        <f ca="1">IFERROR(_xludf.XLOOKUP(C199,'Agent Master'!$A:$A,'Agent Master'!$C:$C,"Missing"),"Missing")</f>
        <v>Missing</v>
      </c>
      <c r="L199" t="str">
        <f t="shared" si="14"/>
        <v>August</v>
      </c>
      <c r="M199" t="str">
        <f>_xlfn.XLOOKUP('Transaction Data'!D199,ProductMap[Product Code],ProductMap[Product Name])</f>
        <v>AEPS</v>
      </c>
      <c r="N199" t="str">
        <f t="shared" si="15"/>
        <v>2026-08</v>
      </c>
      <c r="O199" t="str" cm="1">
        <f t="array" ref="O199">IFERROR(_xlfn.XLOOKUP(C199,AgentMaster[[#All],[Agent ID]],AgentMaster[[#All],[Agent Name]]),"")</f>
        <v>Agent 130</v>
      </c>
      <c r="P199">
        <f t="shared" si="16"/>
        <v>16</v>
      </c>
    </row>
    <row r="200" spans="1:16" x14ac:dyDescent="0.3">
      <c r="A200" t="s">
        <v>322</v>
      </c>
      <c r="B200" s="5">
        <v>46238</v>
      </c>
      <c r="C200" t="s">
        <v>191</v>
      </c>
      <c r="D200" t="s">
        <v>90</v>
      </c>
      <c r="E200">
        <v>750</v>
      </c>
      <c r="F200" t="s">
        <v>92</v>
      </c>
      <c r="G200" t="s">
        <v>73</v>
      </c>
      <c r="H200" t="s">
        <v>81</v>
      </c>
      <c r="I200" t="str">
        <f t="shared" si="13"/>
        <v>2026-08</v>
      </c>
      <c r="J200" t="str">
        <f ca="1">IFERROR(_xludf.XLOOKUP(C200,'Agent Master'!$A:$A,'Agent Master'!$B:$B,"Missing"),"Missing")</f>
        <v>Missing</v>
      </c>
      <c r="K200" t="str">
        <f ca="1">IFERROR(_xludf.XLOOKUP(C200,'Agent Master'!$A:$A,'Agent Master'!$C:$C,"Missing"),"Missing")</f>
        <v>Missing</v>
      </c>
      <c r="L200" t="str">
        <f t="shared" si="14"/>
        <v>August</v>
      </c>
      <c r="M200" t="str">
        <f>_xlfn.XLOOKUP('Transaction Data'!D200,ProductMap[Product Code],ProductMap[Product Name])</f>
        <v>UPI</v>
      </c>
      <c r="N200" t="str">
        <f t="shared" si="15"/>
        <v>2026-08</v>
      </c>
      <c r="O200" t="str" cm="1">
        <f t="array" ref="O200">IFERROR(_xlfn.XLOOKUP(C200,AgentMaster[[#All],[Agent ID]],AgentMaster[[#All],[Agent Name]]),"")</f>
        <v>Agent 122</v>
      </c>
      <c r="P200">
        <f t="shared" si="16"/>
        <v>7</v>
      </c>
    </row>
    <row r="201" spans="1:16" x14ac:dyDescent="0.3">
      <c r="A201" t="s">
        <v>323</v>
      </c>
      <c r="B201" s="5">
        <v>46288</v>
      </c>
      <c r="C201" t="s">
        <v>112</v>
      </c>
      <c r="D201" t="s">
        <v>90</v>
      </c>
      <c r="E201">
        <v>10000</v>
      </c>
      <c r="F201" t="s">
        <v>72</v>
      </c>
      <c r="G201" t="s">
        <v>73</v>
      </c>
      <c r="H201" t="s">
        <v>96</v>
      </c>
      <c r="I201" t="str">
        <f t="shared" si="13"/>
        <v>2026-09</v>
      </c>
      <c r="J201" t="str">
        <f ca="1">IFERROR(_xludf.XLOOKUP(C201,'Agent Master'!$A:$A,'Agent Master'!$B:$B,"Missing"),"Missing")</f>
        <v>Missing</v>
      </c>
      <c r="K201" t="str">
        <f ca="1">IFERROR(_xludf.XLOOKUP(C201,'Agent Master'!$A:$A,'Agent Master'!$C:$C,"Missing"),"Missing")</f>
        <v>Missing</v>
      </c>
      <c r="L201" t="str">
        <f t="shared" si="14"/>
        <v>September</v>
      </c>
      <c r="M201" t="str">
        <f>_xlfn.XLOOKUP('Transaction Data'!D201,ProductMap[Product Code],ProductMap[Product Name])</f>
        <v>UPI</v>
      </c>
      <c r="N201" t="str">
        <f t="shared" si="15"/>
        <v>2026-09</v>
      </c>
      <c r="O201" t="str" cm="1">
        <f t="array" ref="O201">IFERROR(_xlfn.XLOOKUP(C201,AgentMaster[[#All],[Agent ID]],AgentMaster[[#All],[Agent Name]]),"")</f>
        <v>Agent 136</v>
      </c>
      <c r="P201">
        <f t="shared" si="16"/>
        <v>16</v>
      </c>
    </row>
    <row r="202" spans="1:16" x14ac:dyDescent="0.3">
      <c r="A202" t="s">
        <v>324</v>
      </c>
      <c r="B202" s="5">
        <v>46284</v>
      </c>
      <c r="C202" t="s">
        <v>204</v>
      </c>
      <c r="D202" t="s">
        <v>95</v>
      </c>
      <c r="E202">
        <v>250</v>
      </c>
      <c r="F202" t="s">
        <v>72</v>
      </c>
      <c r="G202" t="s">
        <v>73</v>
      </c>
      <c r="H202" t="s">
        <v>74</v>
      </c>
      <c r="I202" t="str">
        <f t="shared" si="13"/>
        <v>2026-09</v>
      </c>
      <c r="J202" t="str">
        <f ca="1">IFERROR(_xludf.XLOOKUP(C202,'Agent Master'!$A:$A,'Agent Master'!$B:$B,"Missing"),"Missing")</f>
        <v>Missing</v>
      </c>
      <c r="K202" t="str">
        <f ca="1">IFERROR(_xludf.XLOOKUP(C202,'Agent Master'!$A:$A,'Agent Master'!$C:$C,"Missing"),"Missing")</f>
        <v>Missing</v>
      </c>
      <c r="L202" t="str">
        <f t="shared" si="14"/>
        <v>September</v>
      </c>
      <c r="M202" t="str">
        <f>_xlfn.XLOOKUP('Transaction Data'!D202,ProductMap[Product Code],ProductMap[Product Name])</f>
        <v>BBPS</v>
      </c>
      <c r="N202" t="str">
        <f t="shared" si="15"/>
        <v>2026-09</v>
      </c>
      <c r="O202" t="str" cm="1">
        <f t="array" ref="O202">IFERROR(_xlfn.XLOOKUP(C202,AgentMaster[[#All],[Agent ID]],AgentMaster[[#All],[Agent Name]]),"")</f>
        <v>Agent 110</v>
      </c>
      <c r="P202">
        <f t="shared" si="16"/>
        <v>17</v>
      </c>
    </row>
    <row r="203" spans="1:16" x14ac:dyDescent="0.3">
      <c r="A203" t="s">
        <v>325</v>
      </c>
      <c r="B203" s="5">
        <v>46269</v>
      </c>
      <c r="C203" t="s">
        <v>159</v>
      </c>
      <c r="D203" t="s">
        <v>90</v>
      </c>
      <c r="E203">
        <v>500</v>
      </c>
      <c r="F203" t="s">
        <v>72</v>
      </c>
      <c r="G203" t="s">
        <v>73</v>
      </c>
      <c r="H203" t="s">
        <v>81</v>
      </c>
      <c r="I203" t="str">
        <f t="shared" si="13"/>
        <v>2026-09</v>
      </c>
      <c r="J203" t="str">
        <f ca="1">IFERROR(_xludf.XLOOKUP(C203,'Agent Master'!$A:$A,'Agent Master'!$B:$B,"Missing"),"Missing")</f>
        <v>Missing</v>
      </c>
      <c r="K203" t="str">
        <f ca="1">IFERROR(_xludf.XLOOKUP(C203,'Agent Master'!$A:$A,'Agent Master'!$C:$C,"Missing"),"Missing")</f>
        <v>Missing</v>
      </c>
      <c r="L203" t="str">
        <f t="shared" si="14"/>
        <v>September</v>
      </c>
      <c r="M203" t="str">
        <f>_xlfn.XLOOKUP('Transaction Data'!D203,ProductMap[Product Code],ProductMap[Product Name])</f>
        <v>UPI</v>
      </c>
      <c r="N203" t="str">
        <f t="shared" si="15"/>
        <v>2026-09</v>
      </c>
      <c r="O203" t="str" cm="1">
        <f t="array" ref="O203">IFERROR(_xlfn.XLOOKUP(C203,AgentMaster[[#All],[Agent ID]],AgentMaster[[#All],[Agent Name]]),"")</f>
        <v>Agent 117</v>
      </c>
      <c r="P203">
        <f t="shared" si="16"/>
        <v>12</v>
      </c>
    </row>
    <row r="204" spans="1:16" x14ac:dyDescent="0.3">
      <c r="A204" t="s">
        <v>326</v>
      </c>
      <c r="B204" s="5">
        <v>46257</v>
      </c>
      <c r="C204" t="s">
        <v>104</v>
      </c>
      <c r="D204" t="s">
        <v>95</v>
      </c>
      <c r="E204">
        <v>2000</v>
      </c>
      <c r="F204" t="s">
        <v>72</v>
      </c>
      <c r="G204" t="s">
        <v>73</v>
      </c>
      <c r="H204" t="s">
        <v>96</v>
      </c>
      <c r="I204" t="str">
        <f t="shared" si="13"/>
        <v>2026-08</v>
      </c>
      <c r="J204" t="str">
        <f ca="1">IFERROR(_xludf.XLOOKUP(C204,'Agent Master'!$A:$A,'Agent Master'!$B:$B,"Missing"),"Missing")</f>
        <v>Missing</v>
      </c>
      <c r="K204" t="str">
        <f ca="1">IFERROR(_xludf.XLOOKUP(C204,'Agent Master'!$A:$A,'Agent Master'!$C:$C,"Missing"),"Missing")</f>
        <v>Missing</v>
      </c>
      <c r="L204" t="str">
        <f t="shared" si="14"/>
        <v>August</v>
      </c>
      <c r="M204" t="str">
        <f>_xlfn.XLOOKUP('Transaction Data'!D204,ProductMap[Product Code],ProductMap[Product Name])</f>
        <v>BBPS</v>
      </c>
      <c r="N204" t="str">
        <f t="shared" si="15"/>
        <v>2026-08</v>
      </c>
      <c r="O204" t="str" cm="1">
        <f t="array" ref="O204">IFERROR(_xlfn.XLOOKUP(C204,AgentMaster[[#All],[Agent ID]],AgentMaster[[#All],[Agent Name]]),"")</f>
        <v>Agent 116</v>
      </c>
      <c r="P204">
        <f t="shared" si="16"/>
        <v>15</v>
      </c>
    </row>
    <row r="205" spans="1:16" x14ac:dyDescent="0.3">
      <c r="A205" t="s">
        <v>327</v>
      </c>
      <c r="B205" s="5">
        <v>46238</v>
      </c>
      <c r="C205" t="s">
        <v>161</v>
      </c>
      <c r="D205" t="s">
        <v>77</v>
      </c>
      <c r="E205">
        <v>2500</v>
      </c>
      <c r="F205" t="s">
        <v>72</v>
      </c>
      <c r="G205" t="s">
        <v>73</v>
      </c>
      <c r="H205" t="s">
        <v>81</v>
      </c>
      <c r="I205" t="str">
        <f t="shared" si="13"/>
        <v>2026-08</v>
      </c>
      <c r="J205" t="str">
        <f ca="1">IFERROR(_xludf.XLOOKUP(C205,'Agent Master'!$A:$A,'Agent Master'!$B:$B,"Missing"),"Missing")</f>
        <v>Missing</v>
      </c>
      <c r="K205" t="str">
        <f ca="1">IFERROR(_xludf.XLOOKUP(C205,'Agent Master'!$A:$A,'Agent Master'!$C:$C,"Missing"),"Missing")</f>
        <v>Missing</v>
      </c>
      <c r="L205" t="str">
        <f t="shared" si="14"/>
        <v>August</v>
      </c>
      <c r="M205" t="str">
        <f>_xlfn.XLOOKUP('Transaction Data'!D205,ProductMap[Product Code],ProductMap[Product Name])</f>
        <v>MATM</v>
      </c>
      <c r="N205" t="str">
        <f t="shared" si="15"/>
        <v>2026-08</v>
      </c>
      <c r="O205" t="str" cm="1">
        <f t="array" ref="O205">IFERROR(_xlfn.XLOOKUP(C205,AgentMaster[[#All],[Agent ID]],AgentMaster[[#All],[Agent Name]]),"")</f>
        <v>Agent 109</v>
      </c>
      <c r="P205">
        <f t="shared" si="16"/>
        <v>16</v>
      </c>
    </row>
    <row r="206" spans="1:16" x14ac:dyDescent="0.3">
      <c r="A206" t="s">
        <v>328</v>
      </c>
      <c r="B206" s="5">
        <v>46265</v>
      </c>
      <c r="C206" t="s">
        <v>172</v>
      </c>
      <c r="D206" t="s">
        <v>87</v>
      </c>
      <c r="E206">
        <v>7500</v>
      </c>
      <c r="F206" t="s">
        <v>92</v>
      </c>
      <c r="G206" t="s">
        <v>73</v>
      </c>
      <c r="H206" t="s">
        <v>78</v>
      </c>
      <c r="I206" t="str">
        <f t="shared" si="13"/>
        <v>2026-08</v>
      </c>
      <c r="J206" t="str">
        <f ca="1">IFERROR(_xludf.XLOOKUP(C206,'Agent Master'!$A:$A,'Agent Master'!$B:$B,"Missing"),"Missing")</f>
        <v>Missing</v>
      </c>
      <c r="K206" t="str">
        <f ca="1">IFERROR(_xludf.XLOOKUP(C206,'Agent Master'!$A:$A,'Agent Master'!$C:$C,"Missing"),"Missing")</f>
        <v>Missing</v>
      </c>
      <c r="L206" t="str">
        <f t="shared" si="14"/>
        <v>August</v>
      </c>
      <c r="M206" t="str">
        <f>_xlfn.XLOOKUP('Transaction Data'!D206,ProductMap[Product Code],ProductMap[Product Name])</f>
        <v>APAY</v>
      </c>
      <c r="N206" t="str">
        <f t="shared" si="15"/>
        <v>2026-08</v>
      </c>
      <c r="O206" t="str" cm="1">
        <f t="array" ref="O206">IFERROR(_xlfn.XLOOKUP(C206,AgentMaster[[#All],[Agent ID]],AgentMaster[[#All],[Agent Name]]),"")</f>
        <v>Agent 129</v>
      </c>
      <c r="P206">
        <f t="shared" si="16"/>
        <v>18</v>
      </c>
    </row>
    <row r="207" spans="1:16" x14ac:dyDescent="0.3">
      <c r="A207" t="s">
        <v>329</v>
      </c>
      <c r="B207" s="5">
        <v>46267</v>
      </c>
      <c r="C207" t="s">
        <v>100</v>
      </c>
      <c r="D207" t="s">
        <v>95</v>
      </c>
      <c r="E207">
        <v>250</v>
      </c>
      <c r="F207" t="s">
        <v>72</v>
      </c>
      <c r="G207" t="s">
        <v>84</v>
      </c>
      <c r="H207" t="s">
        <v>78</v>
      </c>
      <c r="I207" t="str">
        <f t="shared" si="13"/>
        <v>2026-09</v>
      </c>
      <c r="J207" t="str">
        <f ca="1">IFERROR(_xludf.XLOOKUP(C207,'Agent Master'!$A:$A,'Agent Master'!$B:$B,"Missing"),"Missing")</f>
        <v>Missing</v>
      </c>
      <c r="K207" t="str">
        <f ca="1">IFERROR(_xludf.XLOOKUP(C207,'Agent Master'!$A:$A,'Agent Master'!$C:$C,"Missing"),"Missing")</f>
        <v>Missing</v>
      </c>
      <c r="L207" t="str">
        <f t="shared" si="14"/>
        <v>September</v>
      </c>
      <c r="M207" t="str">
        <f>_xlfn.XLOOKUP('Transaction Data'!D207,ProductMap[Product Code],ProductMap[Product Name])</f>
        <v>BBPS</v>
      </c>
      <c r="N207" t="str">
        <f t="shared" si="15"/>
        <v>2026-09</v>
      </c>
      <c r="O207" t="str" cm="1">
        <f t="array" ref="O207">IFERROR(_xlfn.XLOOKUP(C207,AgentMaster[[#All],[Agent ID]],AgentMaster[[#All],[Agent Name]]),"")</f>
        <v>Agent 115</v>
      </c>
      <c r="P207">
        <f t="shared" si="16"/>
        <v>11</v>
      </c>
    </row>
    <row r="208" spans="1:16" x14ac:dyDescent="0.3">
      <c r="A208" t="s">
        <v>330</v>
      </c>
      <c r="B208" s="5">
        <v>46276</v>
      </c>
      <c r="C208" t="s">
        <v>80</v>
      </c>
      <c r="D208" t="s">
        <v>71</v>
      </c>
      <c r="E208">
        <v>5000</v>
      </c>
      <c r="F208" t="s">
        <v>72</v>
      </c>
      <c r="G208" t="s">
        <v>84</v>
      </c>
      <c r="H208" t="s">
        <v>81</v>
      </c>
      <c r="I208" t="str">
        <f t="shared" si="13"/>
        <v>2026-09</v>
      </c>
      <c r="J208" t="str">
        <f ca="1">IFERROR(_xludf.XLOOKUP(C208,'Agent Master'!$A:$A,'Agent Master'!$B:$B,"Missing"),"Missing")</f>
        <v>Missing</v>
      </c>
      <c r="K208" t="str">
        <f ca="1">IFERROR(_xludf.XLOOKUP(C208,'Agent Master'!$A:$A,'Agent Master'!$C:$C,"Missing"),"Missing")</f>
        <v>Missing</v>
      </c>
      <c r="L208" t="str">
        <f t="shared" si="14"/>
        <v>September</v>
      </c>
      <c r="M208" t="str">
        <f>_xlfn.XLOOKUP('Transaction Data'!D208,ProductMap[Product Code],ProductMap[Product Name])</f>
        <v>AEPS</v>
      </c>
      <c r="N208" t="str">
        <f t="shared" si="15"/>
        <v>2026-09</v>
      </c>
      <c r="O208" t="str" cm="1">
        <f t="array" ref="O208">IFERROR(_xlfn.XLOOKUP(C208,AgentMaster[[#All],[Agent ID]],AgentMaster[[#All],[Agent Name]]),"")</f>
        <v>Agent 102</v>
      </c>
      <c r="P208">
        <f t="shared" si="16"/>
        <v>13</v>
      </c>
    </row>
    <row r="209" spans="1:16" x14ac:dyDescent="0.3">
      <c r="A209" t="s">
        <v>331</v>
      </c>
      <c r="B209" s="5">
        <v>46266</v>
      </c>
      <c r="C209" t="s">
        <v>172</v>
      </c>
      <c r="D209" t="s">
        <v>71</v>
      </c>
      <c r="E209">
        <v>500</v>
      </c>
      <c r="F209" t="s">
        <v>72</v>
      </c>
      <c r="G209" t="s">
        <v>73</v>
      </c>
      <c r="H209" t="s">
        <v>74</v>
      </c>
      <c r="I209" t="str">
        <f t="shared" si="13"/>
        <v>2026-09</v>
      </c>
      <c r="J209" t="str">
        <f ca="1">IFERROR(_xludf.XLOOKUP(C209,'Agent Master'!$A:$A,'Agent Master'!$B:$B,"Missing"),"Missing")</f>
        <v>Missing</v>
      </c>
      <c r="K209" t="str">
        <f ca="1">IFERROR(_xludf.XLOOKUP(C209,'Agent Master'!$A:$A,'Agent Master'!$C:$C,"Missing"),"Missing")</f>
        <v>Missing</v>
      </c>
      <c r="L209" t="str">
        <f t="shared" si="14"/>
        <v>September</v>
      </c>
      <c r="M209" t="str">
        <f>_xlfn.XLOOKUP('Transaction Data'!D209,ProductMap[Product Code],ProductMap[Product Name])</f>
        <v>AEPS</v>
      </c>
      <c r="N209" t="str">
        <f t="shared" si="15"/>
        <v>2026-09</v>
      </c>
      <c r="O209" t="str" cm="1">
        <f t="array" ref="O209">IFERROR(_xlfn.XLOOKUP(C209,AgentMaster[[#All],[Agent ID]],AgentMaster[[#All],[Agent Name]]),"")</f>
        <v>Agent 129</v>
      </c>
      <c r="P209">
        <f t="shared" si="16"/>
        <v>18</v>
      </c>
    </row>
    <row r="210" spans="1:16" x14ac:dyDescent="0.3">
      <c r="A210" t="s">
        <v>332</v>
      </c>
      <c r="B210" s="5">
        <v>46239</v>
      </c>
      <c r="C210" t="s">
        <v>161</v>
      </c>
      <c r="D210" t="s">
        <v>87</v>
      </c>
      <c r="E210">
        <v>10000</v>
      </c>
      <c r="F210" t="s">
        <v>92</v>
      </c>
      <c r="G210" t="s">
        <v>73</v>
      </c>
      <c r="H210" t="s">
        <v>96</v>
      </c>
      <c r="I210" t="str">
        <f t="shared" si="13"/>
        <v>2026-08</v>
      </c>
      <c r="J210" t="str">
        <f ca="1">IFERROR(_xludf.XLOOKUP(C210,'Agent Master'!$A:$A,'Agent Master'!$B:$B,"Missing"),"Missing")</f>
        <v>Missing</v>
      </c>
      <c r="K210" t="str">
        <f ca="1">IFERROR(_xludf.XLOOKUP(C210,'Agent Master'!$A:$A,'Agent Master'!$C:$C,"Missing"),"Missing")</f>
        <v>Missing</v>
      </c>
      <c r="L210" t="str">
        <f t="shared" si="14"/>
        <v>August</v>
      </c>
      <c r="M210" t="str">
        <f>_xlfn.XLOOKUP('Transaction Data'!D210,ProductMap[Product Code],ProductMap[Product Name])</f>
        <v>APAY</v>
      </c>
      <c r="N210" t="str">
        <f t="shared" si="15"/>
        <v>2026-08</v>
      </c>
      <c r="O210" t="str" cm="1">
        <f t="array" ref="O210">IFERROR(_xlfn.XLOOKUP(C210,AgentMaster[[#All],[Agent ID]],AgentMaster[[#All],[Agent Name]]),"")</f>
        <v>Agent 109</v>
      </c>
      <c r="P210">
        <f t="shared" si="16"/>
        <v>16</v>
      </c>
    </row>
    <row r="211" spans="1:16" x14ac:dyDescent="0.3">
      <c r="A211" t="s">
        <v>333</v>
      </c>
      <c r="B211" s="5">
        <v>46259</v>
      </c>
      <c r="C211" t="s">
        <v>255</v>
      </c>
      <c r="D211" t="s">
        <v>95</v>
      </c>
      <c r="E211">
        <v>1500</v>
      </c>
      <c r="F211" t="s">
        <v>72</v>
      </c>
      <c r="G211" t="s">
        <v>73</v>
      </c>
      <c r="H211" t="s">
        <v>78</v>
      </c>
      <c r="I211" t="str">
        <f t="shared" si="13"/>
        <v>2026-08</v>
      </c>
      <c r="J211" t="str">
        <f ca="1">IFERROR(_xludf.XLOOKUP(C211,'Agent Master'!$A:$A,'Agent Master'!$B:$B,"Missing"),"Missing")</f>
        <v>Missing</v>
      </c>
      <c r="K211" t="str">
        <f ca="1">IFERROR(_xludf.XLOOKUP(C211,'Agent Master'!$A:$A,'Agent Master'!$C:$C,"Missing"),"Missing")</f>
        <v>Missing</v>
      </c>
      <c r="L211" t="str">
        <f t="shared" si="14"/>
        <v>August</v>
      </c>
      <c r="M211" t="str">
        <f>_xlfn.XLOOKUP('Transaction Data'!D211,ProductMap[Product Code],ProductMap[Product Name])</f>
        <v>BBPS</v>
      </c>
      <c r="N211" t="str">
        <f t="shared" si="15"/>
        <v>2026-08</v>
      </c>
      <c r="O211" t="str" cm="1">
        <f t="array" ref="O211">IFERROR(_xlfn.XLOOKUP(C211,AgentMaster[[#All],[Agent ID]],AgentMaster[[#All],[Agent Name]]),"")</f>
        <v>Agent 139</v>
      </c>
      <c r="P211">
        <f t="shared" si="16"/>
        <v>10</v>
      </c>
    </row>
    <row r="212" spans="1:16" x14ac:dyDescent="0.3">
      <c r="A212" t="s">
        <v>334</v>
      </c>
      <c r="B212" s="5">
        <v>46241</v>
      </c>
      <c r="C212" t="s">
        <v>70</v>
      </c>
      <c r="D212" t="s">
        <v>77</v>
      </c>
      <c r="E212">
        <v>12500</v>
      </c>
      <c r="F212" t="s">
        <v>72</v>
      </c>
      <c r="G212" t="s">
        <v>73</v>
      </c>
      <c r="H212" t="s">
        <v>74</v>
      </c>
      <c r="I212" t="str">
        <f t="shared" si="13"/>
        <v>2026-08</v>
      </c>
      <c r="J212" t="str">
        <f ca="1">IFERROR(_xludf.XLOOKUP(C212,'Agent Master'!$A:$A,'Agent Master'!$B:$B,"Missing"),"Missing")</f>
        <v>Missing</v>
      </c>
      <c r="K212" t="str">
        <f ca="1">IFERROR(_xludf.XLOOKUP(C212,'Agent Master'!$A:$A,'Agent Master'!$C:$C,"Missing"),"Missing")</f>
        <v>Missing</v>
      </c>
      <c r="L212" t="str">
        <f t="shared" si="14"/>
        <v>August</v>
      </c>
      <c r="M212" t="str">
        <f>_xlfn.XLOOKUP('Transaction Data'!D212,ProductMap[Product Code],ProductMap[Product Name])</f>
        <v>MATM</v>
      </c>
      <c r="N212" t="str">
        <f t="shared" si="15"/>
        <v>2026-08</v>
      </c>
      <c r="O212" t="str" cm="1">
        <f t="array" ref="O212">IFERROR(_xlfn.XLOOKUP(C212,AgentMaster[[#All],[Agent ID]],AgentMaster[[#All],[Agent Name]]),"")</f>
        <v>Agent 108</v>
      </c>
      <c r="P212">
        <f t="shared" si="16"/>
        <v>12</v>
      </c>
    </row>
    <row r="213" spans="1:16" x14ac:dyDescent="0.3">
      <c r="A213" t="s">
        <v>335</v>
      </c>
      <c r="B213" s="5">
        <v>46262</v>
      </c>
      <c r="C213" t="s">
        <v>172</v>
      </c>
      <c r="D213" t="s">
        <v>90</v>
      </c>
      <c r="E213">
        <v>2500</v>
      </c>
      <c r="F213" t="s">
        <v>72</v>
      </c>
      <c r="G213" t="s">
        <v>84</v>
      </c>
      <c r="H213" t="s">
        <v>78</v>
      </c>
      <c r="I213" t="str">
        <f t="shared" si="13"/>
        <v>2026-08</v>
      </c>
      <c r="J213" t="str">
        <f ca="1">IFERROR(_xludf.XLOOKUP(C213,'Agent Master'!$A:$A,'Agent Master'!$B:$B,"Missing"),"Missing")</f>
        <v>Missing</v>
      </c>
      <c r="K213" t="str">
        <f ca="1">IFERROR(_xludf.XLOOKUP(C213,'Agent Master'!$A:$A,'Agent Master'!$C:$C,"Missing"),"Missing")</f>
        <v>Missing</v>
      </c>
      <c r="L213" t="str">
        <f t="shared" si="14"/>
        <v>August</v>
      </c>
      <c r="M213" t="str">
        <f>_xlfn.XLOOKUP('Transaction Data'!D213,ProductMap[Product Code],ProductMap[Product Name])</f>
        <v>UPI</v>
      </c>
      <c r="N213" t="str">
        <f t="shared" si="15"/>
        <v>2026-08</v>
      </c>
      <c r="O213" t="str" cm="1">
        <f t="array" ref="O213">IFERROR(_xlfn.XLOOKUP(C213,AgentMaster[[#All],[Agent ID]],AgentMaster[[#All],[Agent Name]]),"")</f>
        <v>Agent 129</v>
      </c>
      <c r="P213">
        <f t="shared" si="16"/>
        <v>18</v>
      </c>
    </row>
    <row r="214" spans="1:16" x14ac:dyDescent="0.3">
      <c r="A214" t="s">
        <v>336</v>
      </c>
      <c r="B214" s="5">
        <v>46261</v>
      </c>
      <c r="C214" t="s">
        <v>76</v>
      </c>
      <c r="D214" t="s">
        <v>87</v>
      </c>
      <c r="E214">
        <v>2500</v>
      </c>
      <c r="F214" t="s">
        <v>72</v>
      </c>
      <c r="G214" t="s">
        <v>73</v>
      </c>
      <c r="H214" t="s">
        <v>96</v>
      </c>
      <c r="I214" t="str">
        <f t="shared" si="13"/>
        <v>2026-08</v>
      </c>
      <c r="J214" t="str">
        <f ca="1">IFERROR(_xludf.XLOOKUP(C214,'Agent Master'!$A:$A,'Agent Master'!$B:$B,"Missing"),"Missing")</f>
        <v>Missing</v>
      </c>
      <c r="K214" t="str">
        <f ca="1">IFERROR(_xludf.XLOOKUP(C214,'Agent Master'!$A:$A,'Agent Master'!$C:$C,"Missing"),"Missing")</f>
        <v>Missing</v>
      </c>
      <c r="L214" t="str">
        <f t="shared" si="14"/>
        <v>August</v>
      </c>
      <c r="M214" t="str">
        <f>_xlfn.XLOOKUP('Transaction Data'!D214,ProductMap[Product Code],ProductMap[Product Name])</f>
        <v>APAY</v>
      </c>
      <c r="N214" t="str">
        <f t="shared" si="15"/>
        <v>2026-08</v>
      </c>
      <c r="O214" t="str" cm="1">
        <f t="array" ref="O214">IFERROR(_xlfn.XLOOKUP(C214,AgentMaster[[#All],[Agent ID]],AgentMaster[[#All],[Agent Name]]),"")</f>
        <v>Agent 107</v>
      </c>
      <c r="P214">
        <f t="shared" si="16"/>
        <v>16</v>
      </c>
    </row>
    <row r="215" spans="1:16" x14ac:dyDescent="0.3">
      <c r="A215" t="s">
        <v>337</v>
      </c>
      <c r="B215" s="5">
        <v>46258</v>
      </c>
      <c r="C215" t="s">
        <v>204</v>
      </c>
      <c r="D215" t="s">
        <v>77</v>
      </c>
      <c r="E215">
        <v>5000</v>
      </c>
      <c r="F215" t="s">
        <v>72</v>
      </c>
      <c r="G215" t="s">
        <v>73</v>
      </c>
      <c r="H215" t="s">
        <v>81</v>
      </c>
      <c r="I215" t="str">
        <f t="shared" si="13"/>
        <v>2026-08</v>
      </c>
      <c r="J215" t="str">
        <f ca="1">IFERROR(_xludf.XLOOKUP(C215,'Agent Master'!$A:$A,'Agent Master'!$B:$B,"Missing"),"Missing")</f>
        <v>Missing</v>
      </c>
      <c r="K215" t="str">
        <f ca="1">IFERROR(_xludf.XLOOKUP(C215,'Agent Master'!$A:$A,'Agent Master'!$C:$C,"Missing"),"Missing")</f>
        <v>Missing</v>
      </c>
      <c r="L215" t="str">
        <f t="shared" si="14"/>
        <v>August</v>
      </c>
      <c r="M215" t="str">
        <f>_xlfn.XLOOKUP('Transaction Data'!D215,ProductMap[Product Code],ProductMap[Product Name])</f>
        <v>MATM</v>
      </c>
      <c r="N215" t="str">
        <f t="shared" si="15"/>
        <v>2026-08</v>
      </c>
      <c r="O215" t="str" cm="1">
        <f t="array" ref="O215">IFERROR(_xlfn.XLOOKUP(C215,AgentMaster[[#All],[Agent ID]],AgentMaster[[#All],[Agent Name]]),"")</f>
        <v>Agent 110</v>
      </c>
      <c r="P215">
        <f t="shared" si="16"/>
        <v>17</v>
      </c>
    </row>
    <row r="216" spans="1:16" x14ac:dyDescent="0.3">
      <c r="A216" t="s">
        <v>338</v>
      </c>
      <c r="B216" s="5">
        <v>46240</v>
      </c>
      <c r="C216" t="s">
        <v>139</v>
      </c>
      <c r="D216" t="s">
        <v>71</v>
      </c>
      <c r="E216">
        <v>15000</v>
      </c>
      <c r="F216" t="s">
        <v>72</v>
      </c>
      <c r="G216" t="s">
        <v>73</v>
      </c>
      <c r="H216" t="s">
        <v>81</v>
      </c>
      <c r="I216" t="str">
        <f t="shared" si="13"/>
        <v>2026-08</v>
      </c>
      <c r="J216" t="str">
        <f ca="1">IFERROR(_xludf.XLOOKUP(C216,'Agent Master'!$A:$A,'Agent Master'!$B:$B,"Missing"),"Missing")</f>
        <v>Missing</v>
      </c>
      <c r="K216" t="str">
        <f ca="1">IFERROR(_xludf.XLOOKUP(C216,'Agent Master'!$A:$A,'Agent Master'!$C:$C,"Missing"),"Missing")</f>
        <v>Missing</v>
      </c>
      <c r="L216" t="str">
        <f t="shared" si="14"/>
        <v>August</v>
      </c>
      <c r="M216" t="str">
        <f>_xlfn.XLOOKUP('Transaction Data'!D216,ProductMap[Product Code],ProductMap[Product Name])</f>
        <v>AEPS</v>
      </c>
      <c r="N216" t="str">
        <f t="shared" si="15"/>
        <v>2026-08</v>
      </c>
      <c r="O216" t="str" cm="1">
        <f t="array" ref="O216">IFERROR(_xlfn.XLOOKUP(C216,AgentMaster[[#All],[Agent ID]],AgentMaster[[#All],[Agent Name]]),"")</f>
        <v>Agent 128</v>
      </c>
      <c r="P216">
        <f t="shared" si="16"/>
        <v>16</v>
      </c>
    </row>
    <row r="217" spans="1:16" x14ac:dyDescent="0.3">
      <c r="A217" t="s">
        <v>339</v>
      </c>
      <c r="B217" s="5">
        <v>46272</v>
      </c>
      <c r="C217" t="s">
        <v>112</v>
      </c>
      <c r="D217" t="s">
        <v>95</v>
      </c>
      <c r="E217">
        <v>2000</v>
      </c>
      <c r="F217" t="s">
        <v>72</v>
      </c>
      <c r="G217" t="s">
        <v>84</v>
      </c>
      <c r="H217" t="s">
        <v>96</v>
      </c>
      <c r="I217" t="str">
        <f t="shared" si="13"/>
        <v>2026-09</v>
      </c>
      <c r="J217" t="str">
        <f ca="1">IFERROR(_xludf.XLOOKUP(C217,'Agent Master'!$A:$A,'Agent Master'!$B:$B,"Missing"),"Missing")</f>
        <v>Missing</v>
      </c>
      <c r="K217" t="str">
        <f ca="1">IFERROR(_xludf.XLOOKUP(C217,'Agent Master'!$A:$A,'Agent Master'!$C:$C,"Missing"),"Missing")</f>
        <v>Missing</v>
      </c>
      <c r="L217" t="str">
        <f t="shared" si="14"/>
        <v>September</v>
      </c>
      <c r="M217" t="str">
        <f>_xlfn.XLOOKUP('Transaction Data'!D217,ProductMap[Product Code],ProductMap[Product Name])</f>
        <v>BBPS</v>
      </c>
      <c r="N217" t="str">
        <f t="shared" si="15"/>
        <v>2026-09</v>
      </c>
      <c r="O217" t="str" cm="1">
        <f t="array" ref="O217">IFERROR(_xlfn.XLOOKUP(C217,AgentMaster[[#All],[Agent ID]],AgentMaster[[#All],[Agent Name]]),"")</f>
        <v>Agent 136</v>
      </c>
      <c r="P217">
        <f t="shared" si="16"/>
        <v>16</v>
      </c>
    </row>
    <row r="218" spans="1:16" x14ac:dyDescent="0.3">
      <c r="A218" t="s">
        <v>340</v>
      </c>
      <c r="B218" s="5">
        <v>46290</v>
      </c>
      <c r="C218" t="s">
        <v>139</v>
      </c>
      <c r="D218" t="s">
        <v>77</v>
      </c>
      <c r="E218">
        <v>250</v>
      </c>
      <c r="F218" t="s">
        <v>72</v>
      </c>
      <c r="G218" t="s">
        <v>73</v>
      </c>
      <c r="H218" t="s">
        <v>96</v>
      </c>
      <c r="I218" t="str">
        <f t="shared" si="13"/>
        <v>2026-09</v>
      </c>
      <c r="J218" t="str">
        <f ca="1">IFERROR(_xludf.XLOOKUP(C218,'Agent Master'!$A:$A,'Agent Master'!$B:$B,"Missing"),"Missing")</f>
        <v>Missing</v>
      </c>
      <c r="K218" t="str">
        <f ca="1">IFERROR(_xludf.XLOOKUP(C218,'Agent Master'!$A:$A,'Agent Master'!$C:$C,"Missing"),"Missing")</f>
        <v>Missing</v>
      </c>
      <c r="L218" t="str">
        <f t="shared" si="14"/>
        <v>September</v>
      </c>
      <c r="M218" t="str">
        <f>_xlfn.XLOOKUP('Transaction Data'!D218,ProductMap[Product Code],ProductMap[Product Name])</f>
        <v>MATM</v>
      </c>
      <c r="N218" t="str">
        <f t="shared" si="15"/>
        <v>2026-09</v>
      </c>
      <c r="O218" t="str" cm="1">
        <f t="array" ref="O218">IFERROR(_xlfn.XLOOKUP(C218,AgentMaster[[#All],[Agent ID]],AgentMaster[[#All],[Agent Name]]),"")</f>
        <v>Agent 128</v>
      </c>
      <c r="P218">
        <f t="shared" si="16"/>
        <v>16</v>
      </c>
    </row>
    <row r="219" spans="1:16" x14ac:dyDescent="0.3">
      <c r="A219" t="s">
        <v>341</v>
      </c>
      <c r="B219" s="5">
        <v>46257</v>
      </c>
      <c r="C219" t="s">
        <v>76</v>
      </c>
      <c r="D219" t="s">
        <v>95</v>
      </c>
      <c r="E219">
        <v>7500</v>
      </c>
      <c r="F219" t="s">
        <v>72</v>
      </c>
      <c r="G219" t="s">
        <v>73</v>
      </c>
      <c r="H219" t="s">
        <v>78</v>
      </c>
      <c r="I219" t="str">
        <f t="shared" si="13"/>
        <v>2026-08</v>
      </c>
      <c r="J219" t="str">
        <f ca="1">IFERROR(_xludf.XLOOKUP(C219,'Agent Master'!$A:$A,'Agent Master'!$B:$B,"Missing"),"Missing")</f>
        <v>Missing</v>
      </c>
      <c r="K219" t="str">
        <f ca="1">IFERROR(_xludf.XLOOKUP(C219,'Agent Master'!$A:$A,'Agent Master'!$C:$C,"Missing"),"Missing")</f>
        <v>Missing</v>
      </c>
      <c r="L219" t="str">
        <f t="shared" si="14"/>
        <v>August</v>
      </c>
      <c r="M219" t="str">
        <f>_xlfn.XLOOKUP('Transaction Data'!D219,ProductMap[Product Code],ProductMap[Product Name])</f>
        <v>BBPS</v>
      </c>
      <c r="N219" t="str">
        <f t="shared" si="15"/>
        <v>2026-08</v>
      </c>
      <c r="O219" t="str" cm="1">
        <f t="array" ref="O219">IFERROR(_xlfn.XLOOKUP(C219,AgentMaster[[#All],[Agent ID]],AgentMaster[[#All],[Agent Name]]),"")</f>
        <v>Agent 107</v>
      </c>
      <c r="P219">
        <f t="shared" si="16"/>
        <v>16</v>
      </c>
    </row>
    <row r="220" spans="1:16" x14ac:dyDescent="0.3">
      <c r="A220" t="s">
        <v>342</v>
      </c>
      <c r="B220" s="5">
        <v>46249</v>
      </c>
      <c r="C220" t="s">
        <v>76</v>
      </c>
      <c r="D220" t="s">
        <v>87</v>
      </c>
      <c r="E220">
        <v>7500</v>
      </c>
      <c r="F220" t="s">
        <v>72</v>
      </c>
      <c r="G220" t="s">
        <v>73</v>
      </c>
      <c r="H220" t="s">
        <v>96</v>
      </c>
      <c r="I220" t="str">
        <f t="shared" si="13"/>
        <v>2026-08</v>
      </c>
      <c r="J220" t="str">
        <f ca="1">IFERROR(_xludf.XLOOKUP(C220,'Agent Master'!$A:$A,'Agent Master'!$B:$B,"Missing"),"Missing")</f>
        <v>Missing</v>
      </c>
      <c r="K220" t="str">
        <f ca="1">IFERROR(_xludf.XLOOKUP(C220,'Agent Master'!$A:$A,'Agent Master'!$C:$C,"Missing"),"Missing")</f>
        <v>Missing</v>
      </c>
      <c r="L220" t="str">
        <f t="shared" si="14"/>
        <v>August</v>
      </c>
      <c r="M220" t="str">
        <f>_xlfn.XLOOKUP('Transaction Data'!D220,ProductMap[Product Code],ProductMap[Product Name])</f>
        <v>APAY</v>
      </c>
      <c r="N220" t="str">
        <f t="shared" si="15"/>
        <v>2026-08</v>
      </c>
      <c r="O220" t="str" cm="1">
        <f t="array" ref="O220">IFERROR(_xlfn.XLOOKUP(C220,AgentMaster[[#All],[Agent ID]],AgentMaster[[#All],[Agent Name]]),"")</f>
        <v>Agent 107</v>
      </c>
      <c r="P220">
        <f t="shared" si="16"/>
        <v>16</v>
      </c>
    </row>
    <row r="221" spans="1:16" x14ac:dyDescent="0.3">
      <c r="A221" t="s">
        <v>343</v>
      </c>
      <c r="B221" s="5">
        <v>46271</v>
      </c>
      <c r="C221" t="s">
        <v>100</v>
      </c>
      <c r="D221" t="s">
        <v>110</v>
      </c>
      <c r="E221">
        <v>7500</v>
      </c>
      <c r="F221" t="s">
        <v>92</v>
      </c>
      <c r="G221" t="s">
        <v>73</v>
      </c>
      <c r="H221" t="s">
        <v>81</v>
      </c>
      <c r="I221" t="str">
        <f t="shared" si="13"/>
        <v>2026-09</v>
      </c>
      <c r="J221" t="str">
        <f ca="1">IFERROR(_xludf.XLOOKUP(C221,'Agent Master'!$A:$A,'Agent Master'!$B:$B,"Missing"),"Missing")</f>
        <v>Missing</v>
      </c>
      <c r="K221" t="str">
        <f ca="1">IFERROR(_xludf.XLOOKUP(C221,'Agent Master'!$A:$A,'Agent Master'!$C:$C,"Missing"),"Missing")</f>
        <v>Missing</v>
      </c>
      <c r="L221" t="str">
        <f t="shared" si="14"/>
        <v>September</v>
      </c>
      <c r="M221" t="str">
        <f>_xlfn.XLOOKUP('Transaction Data'!D221,ProductMap[Product Code],ProductMap[Product Name])</f>
        <v>DMT</v>
      </c>
      <c r="N221" t="str">
        <f t="shared" si="15"/>
        <v>2026-09</v>
      </c>
      <c r="O221" t="str" cm="1">
        <f t="array" ref="O221">IFERROR(_xlfn.XLOOKUP(C221,AgentMaster[[#All],[Agent ID]],AgentMaster[[#All],[Agent Name]]),"")</f>
        <v>Agent 115</v>
      </c>
      <c r="P221">
        <f t="shared" si="16"/>
        <v>11</v>
      </c>
    </row>
    <row r="222" spans="1:16" x14ac:dyDescent="0.3">
      <c r="A222" t="s">
        <v>344</v>
      </c>
      <c r="B222" s="5">
        <v>46273</v>
      </c>
      <c r="C222" t="s">
        <v>89</v>
      </c>
      <c r="D222" t="s">
        <v>71</v>
      </c>
      <c r="E222">
        <v>750</v>
      </c>
      <c r="F222" t="s">
        <v>72</v>
      </c>
      <c r="G222" t="s">
        <v>73</v>
      </c>
      <c r="H222" t="s">
        <v>96</v>
      </c>
      <c r="I222" t="str">
        <f t="shared" si="13"/>
        <v>2026-09</v>
      </c>
      <c r="J222" t="str">
        <f ca="1">IFERROR(_xludf.XLOOKUP(C222,'Agent Master'!$A:$A,'Agent Master'!$B:$B,"Missing"),"Missing")</f>
        <v>Missing</v>
      </c>
      <c r="K222" t="str">
        <f ca="1">IFERROR(_xludf.XLOOKUP(C222,'Agent Master'!$A:$A,'Agent Master'!$C:$C,"Missing"),"Missing")</f>
        <v>Missing</v>
      </c>
      <c r="L222" t="str">
        <f t="shared" si="14"/>
        <v>September</v>
      </c>
      <c r="M222" t="str">
        <f>_xlfn.XLOOKUP('Transaction Data'!D222,ProductMap[Product Code],ProductMap[Product Name])</f>
        <v>AEPS</v>
      </c>
      <c r="N222" t="str">
        <f t="shared" si="15"/>
        <v>2026-09</v>
      </c>
      <c r="O222" t="str" cm="1">
        <f t="array" ref="O222">IFERROR(_xlfn.XLOOKUP(C222,AgentMaster[[#All],[Agent ID]],AgentMaster[[#All],[Agent Name]]),"")</f>
        <v>Agent 118</v>
      </c>
      <c r="P222">
        <f t="shared" si="16"/>
        <v>11</v>
      </c>
    </row>
    <row r="223" spans="1:16" x14ac:dyDescent="0.3">
      <c r="A223" t="s">
        <v>345</v>
      </c>
      <c r="B223" s="5">
        <v>46293</v>
      </c>
      <c r="C223" t="s">
        <v>191</v>
      </c>
      <c r="D223" t="s">
        <v>87</v>
      </c>
      <c r="E223">
        <v>250</v>
      </c>
      <c r="F223" t="s">
        <v>72</v>
      </c>
      <c r="G223" t="s">
        <v>73</v>
      </c>
      <c r="H223" t="s">
        <v>78</v>
      </c>
      <c r="I223" t="str">
        <f t="shared" si="13"/>
        <v>2026-09</v>
      </c>
      <c r="J223" t="str">
        <f ca="1">IFERROR(_xludf.XLOOKUP(C223,'Agent Master'!$A:$A,'Agent Master'!$B:$B,"Missing"),"Missing")</f>
        <v>Missing</v>
      </c>
      <c r="K223" t="str">
        <f ca="1">IFERROR(_xludf.XLOOKUP(C223,'Agent Master'!$A:$A,'Agent Master'!$C:$C,"Missing"),"Missing")</f>
        <v>Missing</v>
      </c>
      <c r="L223" t="str">
        <f t="shared" si="14"/>
        <v>September</v>
      </c>
      <c r="M223" t="str">
        <f>_xlfn.XLOOKUP('Transaction Data'!D223,ProductMap[Product Code],ProductMap[Product Name])</f>
        <v>APAY</v>
      </c>
      <c r="N223" t="str">
        <f t="shared" si="15"/>
        <v>2026-09</v>
      </c>
      <c r="O223" t="str" cm="1">
        <f t="array" ref="O223">IFERROR(_xlfn.XLOOKUP(C223,AgentMaster[[#All],[Agent ID]],AgentMaster[[#All],[Agent Name]]),"")</f>
        <v>Agent 122</v>
      </c>
      <c r="P223">
        <f t="shared" si="16"/>
        <v>7</v>
      </c>
    </row>
    <row r="224" spans="1:16" x14ac:dyDescent="0.3">
      <c r="A224" t="s">
        <v>346</v>
      </c>
      <c r="B224" s="5">
        <v>46239</v>
      </c>
      <c r="C224" t="s">
        <v>204</v>
      </c>
      <c r="D224" t="s">
        <v>77</v>
      </c>
      <c r="E224">
        <v>12500</v>
      </c>
      <c r="F224" t="s">
        <v>72</v>
      </c>
      <c r="G224" t="s">
        <v>73</v>
      </c>
      <c r="H224" t="s">
        <v>74</v>
      </c>
      <c r="I224" t="str">
        <f t="shared" si="13"/>
        <v>2026-08</v>
      </c>
      <c r="J224" t="str">
        <f ca="1">IFERROR(_xludf.XLOOKUP(C224,'Agent Master'!$A:$A,'Agent Master'!$B:$B,"Missing"),"Missing")</f>
        <v>Missing</v>
      </c>
      <c r="K224" t="str">
        <f ca="1">IFERROR(_xludf.XLOOKUP(C224,'Agent Master'!$A:$A,'Agent Master'!$C:$C,"Missing"),"Missing")</f>
        <v>Missing</v>
      </c>
      <c r="L224" t="str">
        <f t="shared" si="14"/>
        <v>August</v>
      </c>
      <c r="M224" t="str">
        <f>_xlfn.XLOOKUP('Transaction Data'!D224,ProductMap[Product Code],ProductMap[Product Name])</f>
        <v>MATM</v>
      </c>
      <c r="N224" t="str">
        <f t="shared" si="15"/>
        <v>2026-08</v>
      </c>
      <c r="O224" t="str" cm="1">
        <f t="array" ref="O224">IFERROR(_xlfn.XLOOKUP(C224,AgentMaster[[#All],[Agent ID]],AgentMaster[[#All],[Agent Name]]),"")</f>
        <v>Agent 110</v>
      </c>
      <c r="P224">
        <f t="shared" si="16"/>
        <v>17</v>
      </c>
    </row>
    <row r="225" spans="1:16" x14ac:dyDescent="0.3">
      <c r="A225" t="s">
        <v>347</v>
      </c>
      <c r="B225" s="5">
        <v>46259</v>
      </c>
      <c r="C225" t="s">
        <v>180</v>
      </c>
      <c r="D225" t="s">
        <v>110</v>
      </c>
      <c r="E225">
        <v>2000</v>
      </c>
      <c r="F225" t="s">
        <v>72</v>
      </c>
      <c r="G225" t="s">
        <v>84</v>
      </c>
      <c r="H225" t="s">
        <v>96</v>
      </c>
      <c r="I225" t="str">
        <f t="shared" si="13"/>
        <v>2026-08</v>
      </c>
      <c r="J225" t="str">
        <f ca="1">IFERROR(_xludf.XLOOKUP(C225,'Agent Master'!$A:$A,'Agent Master'!$B:$B,"Missing"),"Missing")</f>
        <v>Missing</v>
      </c>
      <c r="K225" t="str">
        <f ca="1">IFERROR(_xludf.XLOOKUP(C225,'Agent Master'!$A:$A,'Agent Master'!$C:$C,"Missing"),"Missing")</f>
        <v>Missing</v>
      </c>
      <c r="L225" t="str">
        <f t="shared" si="14"/>
        <v>August</v>
      </c>
      <c r="M225" t="str">
        <f>_xlfn.XLOOKUP('Transaction Data'!D225,ProductMap[Product Code],ProductMap[Product Name])</f>
        <v>DMT</v>
      </c>
      <c r="N225" t="str">
        <f t="shared" si="15"/>
        <v>2026-08</v>
      </c>
      <c r="O225" t="str" cm="1">
        <f t="array" ref="O225">IFERROR(_xlfn.XLOOKUP(C225,AgentMaster[[#All],[Agent ID]],AgentMaster[[#All],[Agent Name]]),"")</f>
        <v>Agent 127</v>
      </c>
      <c r="P225">
        <f t="shared" si="16"/>
        <v>11</v>
      </c>
    </row>
    <row r="226" spans="1:16" x14ac:dyDescent="0.3">
      <c r="A226" t="s">
        <v>348</v>
      </c>
      <c r="B226" s="5">
        <v>46281</v>
      </c>
      <c r="C226" t="s">
        <v>106</v>
      </c>
      <c r="D226" t="s">
        <v>95</v>
      </c>
      <c r="E226">
        <v>10000</v>
      </c>
      <c r="F226" t="s">
        <v>72</v>
      </c>
      <c r="G226" t="s">
        <v>73</v>
      </c>
      <c r="H226" t="s">
        <v>74</v>
      </c>
      <c r="I226" t="str">
        <f t="shared" si="13"/>
        <v>2026-09</v>
      </c>
      <c r="J226" t="str">
        <f ca="1">IFERROR(_xludf.XLOOKUP(C226,'Agent Master'!$A:$A,'Agent Master'!$B:$B,"Missing"),"Missing")</f>
        <v>Missing</v>
      </c>
      <c r="K226" t="str">
        <f ca="1">IFERROR(_xludf.XLOOKUP(C226,'Agent Master'!$A:$A,'Agent Master'!$C:$C,"Missing"),"Missing")</f>
        <v>Missing</v>
      </c>
      <c r="L226" t="str">
        <f t="shared" si="14"/>
        <v>September</v>
      </c>
      <c r="M226" t="str">
        <f>_xlfn.XLOOKUP('Transaction Data'!D226,ProductMap[Product Code],ProductMap[Product Name])</f>
        <v>BBPS</v>
      </c>
      <c r="N226" t="str">
        <f t="shared" si="15"/>
        <v>2026-09</v>
      </c>
      <c r="O226" t="str" cm="1">
        <f t="array" ref="O226">IFERROR(_xlfn.XLOOKUP(C226,AgentMaster[[#All],[Agent ID]],AgentMaster[[#All],[Agent Name]]),"")</f>
        <v>Agent 121</v>
      </c>
      <c r="P226">
        <f t="shared" si="16"/>
        <v>7</v>
      </c>
    </row>
    <row r="227" spans="1:16" x14ac:dyDescent="0.3">
      <c r="A227" t="s">
        <v>349</v>
      </c>
      <c r="B227" s="5">
        <v>46245</v>
      </c>
      <c r="C227" t="s">
        <v>236</v>
      </c>
      <c r="D227" t="s">
        <v>71</v>
      </c>
      <c r="E227">
        <v>12500</v>
      </c>
      <c r="F227" t="s">
        <v>72</v>
      </c>
      <c r="G227" t="s">
        <v>84</v>
      </c>
      <c r="H227" t="s">
        <v>78</v>
      </c>
      <c r="I227" t="str">
        <f t="shared" si="13"/>
        <v>2026-08</v>
      </c>
      <c r="J227" t="str">
        <f ca="1">IFERROR(_xludf.XLOOKUP(C227,'Agent Master'!$A:$A,'Agent Master'!$B:$B,"Missing"),"Missing")</f>
        <v>Missing</v>
      </c>
      <c r="K227" t="str">
        <f ca="1">IFERROR(_xludf.XLOOKUP(C227,'Agent Master'!$A:$A,'Agent Master'!$C:$C,"Missing"),"Missing")</f>
        <v>Missing</v>
      </c>
      <c r="L227" t="str">
        <f t="shared" si="14"/>
        <v>August</v>
      </c>
      <c r="M227" t="str">
        <f>_xlfn.XLOOKUP('Transaction Data'!D227,ProductMap[Product Code],ProductMap[Product Name])</f>
        <v>AEPS</v>
      </c>
      <c r="N227" t="str">
        <f t="shared" si="15"/>
        <v>2026-08</v>
      </c>
      <c r="O227" t="str" cm="1">
        <f t="array" ref="O227">IFERROR(_xlfn.XLOOKUP(C227,AgentMaster[[#All],[Agent ID]],AgentMaster[[#All],[Agent Name]]),"")</f>
        <v>Agent 140</v>
      </c>
      <c r="P227">
        <f t="shared" si="16"/>
        <v>5</v>
      </c>
    </row>
    <row r="228" spans="1:16" x14ac:dyDescent="0.3">
      <c r="A228" t="s">
        <v>350</v>
      </c>
      <c r="B228" s="5">
        <v>46277</v>
      </c>
      <c r="C228" t="s">
        <v>139</v>
      </c>
      <c r="D228" t="s">
        <v>110</v>
      </c>
      <c r="E228">
        <v>10000</v>
      </c>
      <c r="F228" t="s">
        <v>72</v>
      </c>
      <c r="G228" t="s">
        <v>84</v>
      </c>
      <c r="H228" t="s">
        <v>96</v>
      </c>
      <c r="I228" t="str">
        <f t="shared" si="13"/>
        <v>2026-09</v>
      </c>
      <c r="J228" t="str">
        <f ca="1">IFERROR(_xludf.XLOOKUP(C228,'Agent Master'!$A:$A,'Agent Master'!$B:$B,"Missing"),"Missing")</f>
        <v>Missing</v>
      </c>
      <c r="K228" t="str">
        <f ca="1">IFERROR(_xludf.XLOOKUP(C228,'Agent Master'!$A:$A,'Agent Master'!$C:$C,"Missing"),"Missing")</f>
        <v>Missing</v>
      </c>
      <c r="L228" t="str">
        <f t="shared" si="14"/>
        <v>September</v>
      </c>
      <c r="M228" t="str">
        <f>_xlfn.XLOOKUP('Transaction Data'!D228,ProductMap[Product Code],ProductMap[Product Name])</f>
        <v>DMT</v>
      </c>
      <c r="N228" t="str">
        <f t="shared" si="15"/>
        <v>2026-09</v>
      </c>
      <c r="O228" t="str" cm="1">
        <f t="array" ref="O228">IFERROR(_xlfn.XLOOKUP(C228,AgentMaster[[#All],[Agent ID]],AgentMaster[[#All],[Agent Name]]),"")</f>
        <v>Agent 128</v>
      </c>
      <c r="P228">
        <f t="shared" si="16"/>
        <v>16</v>
      </c>
    </row>
    <row r="229" spans="1:16" x14ac:dyDescent="0.3">
      <c r="A229" t="s">
        <v>351</v>
      </c>
      <c r="B229" s="5">
        <v>46248</v>
      </c>
      <c r="C229" t="s">
        <v>154</v>
      </c>
      <c r="D229" t="s">
        <v>71</v>
      </c>
      <c r="E229">
        <v>2000</v>
      </c>
      <c r="F229" t="s">
        <v>72</v>
      </c>
      <c r="G229" t="s">
        <v>73</v>
      </c>
      <c r="H229" t="s">
        <v>96</v>
      </c>
      <c r="I229" t="str">
        <f t="shared" si="13"/>
        <v>2026-08</v>
      </c>
      <c r="J229" t="str">
        <f ca="1">IFERROR(_xludf.XLOOKUP(C229,'Agent Master'!$A:$A,'Agent Master'!$B:$B,"Missing"),"Missing")</f>
        <v>Missing</v>
      </c>
      <c r="K229" t="str">
        <f ca="1">IFERROR(_xludf.XLOOKUP(C229,'Agent Master'!$A:$A,'Agent Master'!$C:$C,"Missing"),"Missing")</f>
        <v>Missing</v>
      </c>
      <c r="L229" t="str">
        <f t="shared" si="14"/>
        <v>August</v>
      </c>
      <c r="M229" t="str">
        <f>_xlfn.XLOOKUP('Transaction Data'!D229,ProductMap[Product Code],ProductMap[Product Name])</f>
        <v>AEPS</v>
      </c>
      <c r="N229" t="str">
        <f t="shared" si="15"/>
        <v>2026-08</v>
      </c>
      <c r="O229" t="str" cm="1">
        <f t="array" ref="O229">IFERROR(_xlfn.XLOOKUP(C229,AgentMaster[[#All],[Agent ID]],AgentMaster[[#All],[Agent Name]]),"")</f>
        <v>Agent 133</v>
      </c>
      <c r="P229">
        <f t="shared" si="16"/>
        <v>9</v>
      </c>
    </row>
    <row r="230" spans="1:16" x14ac:dyDescent="0.3">
      <c r="A230" t="s">
        <v>352</v>
      </c>
      <c r="B230" s="5">
        <v>46278</v>
      </c>
      <c r="C230" t="s">
        <v>86</v>
      </c>
      <c r="D230" t="s">
        <v>110</v>
      </c>
      <c r="E230">
        <v>7500</v>
      </c>
      <c r="F230" t="s">
        <v>72</v>
      </c>
      <c r="G230" t="s">
        <v>73</v>
      </c>
      <c r="H230" t="s">
        <v>74</v>
      </c>
      <c r="I230" t="str">
        <f t="shared" si="13"/>
        <v>2026-09</v>
      </c>
      <c r="J230" t="str">
        <f ca="1">IFERROR(_xludf.XLOOKUP(C230,'Agent Master'!$A:$A,'Agent Master'!$B:$B,"Missing"),"Missing")</f>
        <v>Missing</v>
      </c>
      <c r="K230" t="str">
        <f ca="1">IFERROR(_xludf.XLOOKUP(C230,'Agent Master'!$A:$A,'Agent Master'!$C:$C,"Missing"),"Missing")</f>
        <v>Missing</v>
      </c>
      <c r="L230" t="str">
        <f t="shared" si="14"/>
        <v>September</v>
      </c>
      <c r="M230" t="str">
        <f>_xlfn.XLOOKUP('Transaction Data'!D230,ProductMap[Product Code],ProductMap[Product Name])</f>
        <v>DMT</v>
      </c>
      <c r="N230" t="str">
        <f t="shared" si="15"/>
        <v>2026-09</v>
      </c>
      <c r="O230" t="str" cm="1">
        <f t="array" ref="O230">IFERROR(_xlfn.XLOOKUP(C230,AgentMaster[[#All],[Agent ID]],AgentMaster[[#All],[Agent Name]]),"")</f>
        <v>Agent 138</v>
      </c>
      <c r="P230">
        <f t="shared" si="16"/>
        <v>4</v>
      </c>
    </row>
    <row r="231" spans="1:16" x14ac:dyDescent="0.3">
      <c r="A231" t="s">
        <v>353</v>
      </c>
      <c r="B231" s="5">
        <v>46260</v>
      </c>
      <c r="C231" t="s">
        <v>255</v>
      </c>
      <c r="D231" t="s">
        <v>71</v>
      </c>
      <c r="E231">
        <v>250</v>
      </c>
      <c r="F231" t="s">
        <v>72</v>
      </c>
      <c r="G231" t="s">
        <v>84</v>
      </c>
      <c r="H231" t="s">
        <v>74</v>
      </c>
      <c r="I231" t="str">
        <f t="shared" si="13"/>
        <v>2026-08</v>
      </c>
      <c r="J231" t="str">
        <f ca="1">IFERROR(_xludf.XLOOKUP(C231,'Agent Master'!$A:$A,'Agent Master'!$B:$B,"Missing"),"Missing")</f>
        <v>Missing</v>
      </c>
      <c r="K231" t="str">
        <f ca="1">IFERROR(_xludf.XLOOKUP(C231,'Agent Master'!$A:$A,'Agent Master'!$C:$C,"Missing"),"Missing")</f>
        <v>Missing</v>
      </c>
      <c r="L231" t="str">
        <f t="shared" si="14"/>
        <v>August</v>
      </c>
      <c r="M231" t="str">
        <f>_xlfn.XLOOKUP('Transaction Data'!D231,ProductMap[Product Code],ProductMap[Product Name])</f>
        <v>AEPS</v>
      </c>
      <c r="N231" t="str">
        <f t="shared" si="15"/>
        <v>2026-08</v>
      </c>
      <c r="O231" t="str" cm="1">
        <f t="array" ref="O231">IFERROR(_xlfn.XLOOKUP(C231,AgentMaster[[#All],[Agent ID]],AgentMaster[[#All],[Agent Name]]),"")</f>
        <v>Agent 139</v>
      </c>
      <c r="P231">
        <f t="shared" si="16"/>
        <v>10</v>
      </c>
    </row>
    <row r="232" spans="1:16" x14ac:dyDescent="0.3">
      <c r="A232" t="s">
        <v>354</v>
      </c>
      <c r="B232" s="5">
        <v>46284</v>
      </c>
      <c r="C232" t="s">
        <v>161</v>
      </c>
      <c r="D232" t="s">
        <v>87</v>
      </c>
      <c r="E232">
        <v>1500</v>
      </c>
      <c r="F232" t="s">
        <v>72</v>
      </c>
      <c r="G232" t="s">
        <v>73</v>
      </c>
      <c r="H232" t="s">
        <v>81</v>
      </c>
      <c r="I232" t="str">
        <f t="shared" si="13"/>
        <v>2026-09</v>
      </c>
      <c r="J232" t="str">
        <f ca="1">IFERROR(_xludf.XLOOKUP(C232,'Agent Master'!$A:$A,'Agent Master'!$B:$B,"Missing"),"Missing")</f>
        <v>Missing</v>
      </c>
      <c r="K232" t="str">
        <f ca="1">IFERROR(_xludf.XLOOKUP(C232,'Agent Master'!$A:$A,'Agent Master'!$C:$C,"Missing"),"Missing")</f>
        <v>Missing</v>
      </c>
      <c r="L232" t="str">
        <f t="shared" si="14"/>
        <v>September</v>
      </c>
      <c r="M232" t="str">
        <f>_xlfn.XLOOKUP('Transaction Data'!D232,ProductMap[Product Code],ProductMap[Product Name])</f>
        <v>APAY</v>
      </c>
      <c r="N232" t="str">
        <f t="shared" si="15"/>
        <v>2026-09</v>
      </c>
      <c r="O232" t="str" cm="1">
        <f t="array" ref="O232">IFERROR(_xlfn.XLOOKUP(C232,AgentMaster[[#All],[Agent ID]],AgentMaster[[#All],[Agent Name]]),"")</f>
        <v>Agent 109</v>
      </c>
      <c r="P232">
        <f t="shared" si="16"/>
        <v>16</v>
      </c>
    </row>
    <row r="233" spans="1:16" x14ac:dyDescent="0.3">
      <c r="A233" t="s">
        <v>355</v>
      </c>
      <c r="B233" s="5">
        <v>46266</v>
      </c>
      <c r="C233" t="s">
        <v>139</v>
      </c>
      <c r="D233" t="s">
        <v>90</v>
      </c>
      <c r="E233">
        <v>750</v>
      </c>
      <c r="F233" t="s">
        <v>72</v>
      </c>
      <c r="G233" t="s">
        <v>73</v>
      </c>
      <c r="H233" t="s">
        <v>74</v>
      </c>
      <c r="I233" t="str">
        <f t="shared" si="13"/>
        <v>2026-09</v>
      </c>
      <c r="J233" t="str">
        <f ca="1">IFERROR(_xludf.XLOOKUP(C233,'Agent Master'!$A:$A,'Agent Master'!$B:$B,"Missing"),"Missing")</f>
        <v>Missing</v>
      </c>
      <c r="K233" t="str">
        <f ca="1">IFERROR(_xludf.XLOOKUP(C233,'Agent Master'!$A:$A,'Agent Master'!$C:$C,"Missing"),"Missing")</f>
        <v>Missing</v>
      </c>
      <c r="L233" t="str">
        <f t="shared" si="14"/>
        <v>September</v>
      </c>
      <c r="M233" t="str">
        <f>_xlfn.XLOOKUP('Transaction Data'!D233,ProductMap[Product Code],ProductMap[Product Name])</f>
        <v>UPI</v>
      </c>
      <c r="N233" t="str">
        <f t="shared" si="15"/>
        <v>2026-09</v>
      </c>
      <c r="O233" t="str" cm="1">
        <f t="array" ref="O233">IFERROR(_xlfn.XLOOKUP(C233,AgentMaster[[#All],[Agent ID]],AgentMaster[[#All],[Agent Name]]),"")</f>
        <v>Agent 128</v>
      </c>
      <c r="P233">
        <f t="shared" si="16"/>
        <v>16</v>
      </c>
    </row>
    <row r="234" spans="1:16" x14ac:dyDescent="0.3">
      <c r="A234" t="s">
        <v>356</v>
      </c>
      <c r="B234" s="5">
        <v>46267</v>
      </c>
      <c r="C234" t="s">
        <v>112</v>
      </c>
      <c r="D234" t="s">
        <v>77</v>
      </c>
      <c r="E234">
        <v>20000</v>
      </c>
      <c r="F234" t="s">
        <v>72</v>
      </c>
      <c r="G234" t="s">
        <v>73</v>
      </c>
      <c r="H234" t="s">
        <v>78</v>
      </c>
      <c r="I234" t="str">
        <f t="shared" si="13"/>
        <v>2026-09</v>
      </c>
      <c r="J234" t="str">
        <f ca="1">IFERROR(_xludf.XLOOKUP(C234,'Agent Master'!$A:$A,'Agent Master'!$B:$B,"Missing"),"Missing")</f>
        <v>Missing</v>
      </c>
      <c r="K234" t="str">
        <f ca="1">IFERROR(_xludf.XLOOKUP(C234,'Agent Master'!$A:$A,'Agent Master'!$C:$C,"Missing"),"Missing")</f>
        <v>Missing</v>
      </c>
      <c r="L234" t="str">
        <f t="shared" si="14"/>
        <v>September</v>
      </c>
      <c r="M234" t="str">
        <f>_xlfn.XLOOKUP('Transaction Data'!D234,ProductMap[Product Code],ProductMap[Product Name])</f>
        <v>MATM</v>
      </c>
      <c r="N234" t="str">
        <f t="shared" si="15"/>
        <v>2026-09</v>
      </c>
      <c r="O234" t="str" cm="1">
        <f t="array" ref="O234">IFERROR(_xlfn.XLOOKUP(C234,AgentMaster[[#All],[Agent ID]],AgentMaster[[#All],[Agent Name]]),"")</f>
        <v>Agent 136</v>
      </c>
      <c r="P234">
        <f t="shared" si="16"/>
        <v>16</v>
      </c>
    </row>
    <row r="235" spans="1:16" x14ac:dyDescent="0.3">
      <c r="A235" t="s">
        <v>357</v>
      </c>
      <c r="B235" s="5">
        <v>46290</v>
      </c>
      <c r="C235" t="s">
        <v>134</v>
      </c>
      <c r="D235" t="s">
        <v>110</v>
      </c>
      <c r="E235">
        <v>250</v>
      </c>
      <c r="F235" t="s">
        <v>72</v>
      </c>
      <c r="G235" t="s">
        <v>73</v>
      </c>
      <c r="H235" t="s">
        <v>96</v>
      </c>
      <c r="I235" t="str">
        <f t="shared" si="13"/>
        <v>2026-09</v>
      </c>
      <c r="J235" t="str">
        <f ca="1">IFERROR(_xludf.XLOOKUP(C235,'Agent Master'!$A:$A,'Agent Master'!$B:$B,"Missing"),"Missing")</f>
        <v>Missing</v>
      </c>
      <c r="K235" t="str">
        <f ca="1">IFERROR(_xludf.XLOOKUP(C235,'Agent Master'!$A:$A,'Agent Master'!$C:$C,"Missing"),"Missing")</f>
        <v>Missing</v>
      </c>
      <c r="L235" t="str">
        <f t="shared" si="14"/>
        <v>September</v>
      </c>
      <c r="M235" t="str">
        <f>_xlfn.XLOOKUP('Transaction Data'!D235,ProductMap[Product Code],ProductMap[Product Name])</f>
        <v>DMT</v>
      </c>
      <c r="N235" t="str">
        <f t="shared" si="15"/>
        <v>2026-09</v>
      </c>
      <c r="O235" t="str" cm="1">
        <f t="array" ref="O235">IFERROR(_xlfn.XLOOKUP(C235,AgentMaster[[#All],[Agent ID]],AgentMaster[[#All],[Agent Name]]),"")</f>
        <v>Agent 103</v>
      </c>
      <c r="P235">
        <f t="shared" si="16"/>
        <v>11</v>
      </c>
    </row>
    <row r="236" spans="1:16" x14ac:dyDescent="0.3">
      <c r="A236" t="s">
        <v>358</v>
      </c>
      <c r="B236" s="5">
        <v>46271</v>
      </c>
      <c r="C236" t="s">
        <v>139</v>
      </c>
      <c r="D236" t="s">
        <v>95</v>
      </c>
      <c r="E236">
        <v>2500</v>
      </c>
      <c r="F236" t="s">
        <v>72</v>
      </c>
      <c r="G236" t="s">
        <v>84</v>
      </c>
      <c r="H236" t="s">
        <v>81</v>
      </c>
      <c r="I236" t="str">
        <f t="shared" si="13"/>
        <v>2026-09</v>
      </c>
      <c r="J236" t="str">
        <f ca="1">IFERROR(_xludf.XLOOKUP(C236,'Agent Master'!$A:$A,'Agent Master'!$B:$B,"Missing"),"Missing")</f>
        <v>Missing</v>
      </c>
      <c r="K236" t="str">
        <f ca="1">IFERROR(_xludf.XLOOKUP(C236,'Agent Master'!$A:$A,'Agent Master'!$C:$C,"Missing"),"Missing")</f>
        <v>Missing</v>
      </c>
      <c r="L236" t="str">
        <f t="shared" si="14"/>
        <v>September</v>
      </c>
      <c r="M236" t="str">
        <f>_xlfn.XLOOKUP('Transaction Data'!D236,ProductMap[Product Code],ProductMap[Product Name])</f>
        <v>BBPS</v>
      </c>
      <c r="N236" t="str">
        <f t="shared" si="15"/>
        <v>2026-09</v>
      </c>
      <c r="O236" t="str" cm="1">
        <f t="array" ref="O236">IFERROR(_xlfn.XLOOKUP(C236,AgentMaster[[#All],[Agent ID]],AgentMaster[[#All],[Agent Name]]),"")</f>
        <v>Agent 128</v>
      </c>
      <c r="P236">
        <f t="shared" si="16"/>
        <v>16</v>
      </c>
    </row>
    <row r="237" spans="1:16" x14ac:dyDescent="0.3">
      <c r="A237" t="s">
        <v>359</v>
      </c>
      <c r="B237" s="5">
        <v>46260</v>
      </c>
      <c r="C237" t="s">
        <v>80</v>
      </c>
      <c r="D237" t="s">
        <v>87</v>
      </c>
      <c r="E237">
        <v>750</v>
      </c>
      <c r="F237" t="s">
        <v>92</v>
      </c>
      <c r="G237" t="s">
        <v>84</v>
      </c>
      <c r="H237" t="s">
        <v>96</v>
      </c>
      <c r="I237" t="str">
        <f t="shared" si="13"/>
        <v>2026-08</v>
      </c>
      <c r="J237" t="str">
        <f ca="1">IFERROR(_xludf.XLOOKUP(C237,'Agent Master'!$A:$A,'Agent Master'!$B:$B,"Missing"),"Missing")</f>
        <v>Missing</v>
      </c>
      <c r="K237" t="str">
        <f ca="1">IFERROR(_xludf.XLOOKUP(C237,'Agent Master'!$A:$A,'Agent Master'!$C:$C,"Missing"),"Missing")</f>
        <v>Missing</v>
      </c>
      <c r="L237" t="str">
        <f t="shared" si="14"/>
        <v>August</v>
      </c>
      <c r="M237" t="str">
        <f>_xlfn.XLOOKUP('Transaction Data'!D237,ProductMap[Product Code],ProductMap[Product Name])</f>
        <v>APAY</v>
      </c>
      <c r="N237" t="str">
        <f t="shared" si="15"/>
        <v>2026-08</v>
      </c>
      <c r="O237" t="str" cm="1">
        <f t="array" ref="O237">IFERROR(_xlfn.XLOOKUP(C237,AgentMaster[[#All],[Agent ID]],AgentMaster[[#All],[Agent Name]]),"")</f>
        <v>Agent 102</v>
      </c>
      <c r="P237">
        <f t="shared" si="16"/>
        <v>13</v>
      </c>
    </row>
    <row r="238" spans="1:16" x14ac:dyDescent="0.3">
      <c r="A238" t="s">
        <v>360</v>
      </c>
      <c r="B238" s="5">
        <v>46240</v>
      </c>
      <c r="C238" t="s">
        <v>139</v>
      </c>
      <c r="D238" t="s">
        <v>71</v>
      </c>
      <c r="E238">
        <v>1000</v>
      </c>
      <c r="F238" t="s">
        <v>72</v>
      </c>
      <c r="G238" t="s">
        <v>73</v>
      </c>
      <c r="H238" t="s">
        <v>78</v>
      </c>
      <c r="I238" t="str">
        <f t="shared" si="13"/>
        <v>2026-08</v>
      </c>
      <c r="J238" t="str">
        <f ca="1">IFERROR(_xludf.XLOOKUP(C238,'Agent Master'!$A:$A,'Agent Master'!$B:$B,"Missing"),"Missing")</f>
        <v>Missing</v>
      </c>
      <c r="K238" t="str">
        <f ca="1">IFERROR(_xludf.XLOOKUP(C238,'Agent Master'!$A:$A,'Agent Master'!$C:$C,"Missing"),"Missing")</f>
        <v>Missing</v>
      </c>
      <c r="L238" t="str">
        <f t="shared" si="14"/>
        <v>August</v>
      </c>
      <c r="M238" t="str">
        <f>_xlfn.XLOOKUP('Transaction Data'!D238,ProductMap[Product Code],ProductMap[Product Name])</f>
        <v>AEPS</v>
      </c>
      <c r="N238" t="str">
        <f t="shared" si="15"/>
        <v>2026-08</v>
      </c>
      <c r="O238" t="str" cm="1">
        <f t="array" ref="O238">IFERROR(_xlfn.XLOOKUP(C238,AgentMaster[[#All],[Agent ID]],AgentMaster[[#All],[Agent Name]]),"")</f>
        <v>Agent 128</v>
      </c>
      <c r="P238">
        <f t="shared" si="16"/>
        <v>16</v>
      </c>
    </row>
    <row r="239" spans="1:16" x14ac:dyDescent="0.3">
      <c r="A239" t="s">
        <v>361</v>
      </c>
      <c r="B239" s="5">
        <v>46268</v>
      </c>
      <c r="C239" t="s">
        <v>157</v>
      </c>
      <c r="D239" t="s">
        <v>110</v>
      </c>
      <c r="E239">
        <v>1500</v>
      </c>
      <c r="F239" t="s">
        <v>72</v>
      </c>
      <c r="G239" t="s">
        <v>73</v>
      </c>
      <c r="H239" t="s">
        <v>96</v>
      </c>
      <c r="I239" t="str">
        <f t="shared" si="13"/>
        <v>2026-09</v>
      </c>
      <c r="J239" t="str">
        <f ca="1">IFERROR(_xludf.XLOOKUP(C239,'Agent Master'!$A:$A,'Agent Master'!$B:$B,"Missing"),"Missing")</f>
        <v>Missing</v>
      </c>
      <c r="K239" t="str">
        <f ca="1">IFERROR(_xludf.XLOOKUP(C239,'Agent Master'!$A:$A,'Agent Master'!$C:$C,"Missing"),"Missing")</f>
        <v>Missing</v>
      </c>
      <c r="L239" t="str">
        <f t="shared" si="14"/>
        <v>September</v>
      </c>
      <c r="M239" t="str">
        <f>_xlfn.XLOOKUP('Transaction Data'!D239,ProductMap[Product Code],ProductMap[Product Name])</f>
        <v>DMT</v>
      </c>
      <c r="N239" t="str">
        <f t="shared" si="15"/>
        <v>2026-09</v>
      </c>
      <c r="O239" t="str" cm="1">
        <f t="array" ref="O239">IFERROR(_xlfn.XLOOKUP(C239,AgentMaster[[#All],[Agent ID]],AgentMaster[[#All],[Agent Name]]),"")</f>
        <v>Agent 106</v>
      </c>
      <c r="P239">
        <f t="shared" si="16"/>
        <v>8</v>
      </c>
    </row>
    <row r="240" spans="1:16" x14ac:dyDescent="0.3">
      <c r="A240" t="s">
        <v>362</v>
      </c>
      <c r="B240" s="5">
        <v>46284</v>
      </c>
      <c r="C240" t="s">
        <v>199</v>
      </c>
      <c r="D240" t="s">
        <v>71</v>
      </c>
      <c r="E240">
        <v>7500</v>
      </c>
      <c r="F240" t="s">
        <v>72</v>
      </c>
      <c r="G240" t="s">
        <v>73</v>
      </c>
      <c r="H240" t="s">
        <v>74</v>
      </c>
      <c r="I240" t="str">
        <f t="shared" si="13"/>
        <v>2026-09</v>
      </c>
      <c r="J240" t="str">
        <f ca="1">IFERROR(_xludf.XLOOKUP(C240,'Agent Master'!$A:$A,'Agent Master'!$B:$B,"Missing"),"Missing")</f>
        <v>Missing</v>
      </c>
      <c r="K240" t="str">
        <f ca="1">IFERROR(_xludf.XLOOKUP(C240,'Agent Master'!$A:$A,'Agent Master'!$C:$C,"Missing"),"Missing")</f>
        <v>Missing</v>
      </c>
      <c r="L240" t="str">
        <f t="shared" si="14"/>
        <v>September</v>
      </c>
      <c r="M240" t="str">
        <f>_xlfn.XLOOKUP('Transaction Data'!D240,ProductMap[Product Code],ProductMap[Product Name])</f>
        <v>AEPS</v>
      </c>
      <c r="N240" t="str">
        <f t="shared" si="15"/>
        <v>2026-09</v>
      </c>
      <c r="O240" t="str" cm="1">
        <f t="array" ref="O240">IFERROR(_xlfn.XLOOKUP(C240,AgentMaster[[#All],[Agent ID]],AgentMaster[[#All],[Agent Name]]),"")</f>
        <v>Agent 111</v>
      </c>
      <c r="P240">
        <f t="shared" si="16"/>
        <v>8</v>
      </c>
    </row>
    <row r="241" spans="1:16" x14ac:dyDescent="0.3">
      <c r="A241" t="s">
        <v>363</v>
      </c>
      <c r="B241" s="5">
        <v>46292</v>
      </c>
      <c r="C241" t="s">
        <v>216</v>
      </c>
      <c r="D241" t="s">
        <v>87</v>
      </c>
      <c r="E241">
        <v>15000</v>
      </c>
      <c r="F241" t="s">
        <v>72</v>
      </c>
      <c r="G241" t="s">
        <v>73</v>
      </c>
      <c r="H241" t="s">
        <v>81</v>
      </c>
      <c r="I241" t="str">
        <f t="shared" si="13"/>
        <v>2026-09</v>
      </c>
      <c r="J241" t="str">
        <f ca="1">IFERROR(_xludf.XLOOKUP(C241,'Agent Master'!$A:$A,'Agent Master'!$B:$B,"Missing"),"Missing")</f>
        <v>Missing</v>
      </c>
      <c r="K241" t="str">
        <f ca="1">IFERROR(_xludf.XLOOKUP(C241,'Agent Master'!$A:$A,'Agent Master'!$C:$C,"Missing"),"Missing")</f>
        <v>Missing</v>
      </c>
      <c r="L241" t="str">
        <f t="shared" si="14"/>
        <v>September</v>
      </c>
      <c r="M241" t="str">
        <f>_xlfn.XLOOKUP('Transaction Data'!D241,ProductMap[Product Code],ProductMap[Product Name])</f>
        <v>APAY</v>
      </c>
      <c r="N241" t="str">
        <f t="shared" si="15"/>
        <v>2026-09</v>
      </c>
      <c r="O241" t="str" cm="1">
        <f t="array" ref="O241">IFERROR(_xlfn.XLOOKUP(C241,AgentMaster[[#All],[Agent ID]],AgentMaster[[#All],[Agent Name]]),"")</f>
        <v>Agent 123</v>
      </c>
      <c r="P241">
        <f t="shared" si="16"/>
        <v>6</v>
      </c>
    </row>
    <row r="242" spans="1:16" x14ac:dyDescent="0.3">
      <c r="A242" t="s">
        <v>364</v>
      </c>
      <c r="B242" s="5">
        <v>46244</v>
      </c>
      <c r="C242" t="s">
        <v>159</v>
      </c>
      <c r="D242" t="s">
        <v>90</v>
      </c>
      <c r="E242">
        <v>750</v>
      </c>
      <c r="F242" t="s">
        <v>92</v>
      </c>
      <c r="G242" t="s">
        <v>73</v>
      </c>
      <c r="H242" t="s">
        <v>81</v>
      </c>
      <c r="I242" t="str">
        <f t="shared" si="13"/>
        <v>2026-08</v>
      </c>
      <c r="J242" t="str">
        <f ca="1">IFERROR(_xludf.XLOOKUP(C242,'Agent Master'!$A:$A,'Agent Master'!$B:$B,"Missing"),"Missing")</f>
        <v>Missing</v>
      </c>
      <c r="K242" t="str">
        <f ca="1">IFERROR(_xludf.XLOOKUP(C242,'Agent Master'!$A:$A,'Agent Master'!$C:$C,"Missing"),"Missing")</f>
        <v>Missing</v>
      </c>
      <c r="L242" t="str">
        <f t="shared" si="14"/>
        <v>August</v>
      </c>
      <c r="M242" t="str">
        <f>_xlfn.XLOOKUP('Transaction Data'!D242,ProductMap[Product Code],ProductMap[Product Name])</f>
        <v>UPI</v>
      </c>
      <c r="N242" t="str">
        <f t="shared" si="15"/>
        <v>2026-08</v>
      </c>
      <c r="O242" t="str" cm="1">
        <f t="array" ref="O242">IFERROR(_xlfn.XLOOKUP(C242,AgentMaster[[#All],[Agent ID]],AgentMaster[[#All],[Agent Name]]),"")</f>
        <v>Agent 117</v>
      </c>
      <c r="P242">
        <f t="shared" si="16"/>
        <v>12</v>
      </c>
    </row>
    <row r="243" spans="1:16" x14ac:dyDescent="0.3">
      <c r="A243" t="s">
        <v>365</v>
      </c>
      <c r="B243" s="5">
        <v>46246</v>
      </c>
      <c r="C243" t="s">
        <v>98</v>
      </c>
      <c r="D243" t="s">
        <v>110</v>
      </c>
      <c r="E243">
        <v>5000</v>
      </c>
      <c r="F243" t="s">
        <v>92</v>
      </c>
      <c r="G243" t="s">
        <v>73</v>
      </c>
      <c r="H243" t="s">
        <v>78</v>
      </c>
      <c r="I243" t="str">
        <f t="shared" si="13"/>
        <v>2026-08</v>
      </c>
      <c r="J243" t="str">
        <f ca="1">IFERROR(_xludf.XLOOKUP(C243,'Agent Master'!$A:$A,'Agent Master'!$B:$B,"Missing"),"Missing")</f>
        <v>Missing</v>
      </c>
      <c r="K243" t="str">
        <f ca="1">IFERROR(_xludf.XLOOKUP(C243,'Agent Master'!$A:$A,'Agent Master'!$C:$C,"Missing"),"Missing")</f>
        <v>Missing</v>
      </c>
      <c r="L243" t="str">
        <f t="shared" si="14"/>
        <v>August</v>
      </c>
      <c r="M243" t="str">
        <f>_xlfn.XLOOKUP('Transaction Data'!D243,ProductMap[Product Code],ProductMap[Product Name])</f>
        <v>DMT</v>
      </c>
      <c r="N243" t="str">
        <f t="shared" si="15"/>
        <v>2026-08</v>
      </c>
      <c r="O243" t="str" cm="1">
        <f t="array" ref="O243">IFERROR(_xlfn.XLOOKUP(C243,AgentMaster[[#All],[Agent ID]],AgentMaster[[#All],[Agent Name]]),"")</f>
        <v/>
      </c>
      <c r="P243">
        <f t="shared" si="16"/>
        <v>25</v>
      </c>
    </row>
    <row r="244" spans="1:16" x14ac:dyDescent="0.3">
      <c r="A244" t="s">
        <v>366</v>
      </c>
      <c r="B244" s="5">
        <v>46278</v>
      </c>
      <c r="C244" t="s">
        <v>125</v>
      </c>
      <c r="D244" t="s">
        <v>77</v>
      </c>
      <c r="E244">
        <v>12500</v>
      </c>
      <c r="F244" t="s">
        <v>92</v>
      </c>
      <c r="G244" t="s">
        <v>84</v>
      </c>
      <c r="H244" t="s">
        <v>96</v>
      </c>
      <c r="I244" t="str">
        <f t="shared" si="13"/>
        <v>2026-09</v>
      </c>
      <c r="J244" t="str">
        <f ca="1">IFERROR(_xludf.XLOOKUP(C244,'Agent Master'!$A:$A,'Agent Master'!$B:$B,"Missing"),"Missing")</f>
        <v>Missing</v>
      </c>
      <c r="K244" t="str">
        <f ca="1">IFERROR(_xludf.XLOOKUP(C244,'Agent Master'!$A:$A,'Agent Master'!$C:$C,"Missing"),"Missing")</f>
        <v>Missing</v>
      </c>
      <c r="L244" t="str">
        <f t="shared" si="14"/>
        <v>September</v>
      </c>
      <c r="M244" t="str">
        <f>_xlfn.XLOOKUP('Transaction Data'!D244,ProductMap[Product Code],ProductMap[Product Name])</f>
        <v>MATM</v>
      </c>
      <c r="N244" t="str">
        <f t="shared" si="15"/>
        <v>2026-09</v>
      </c>
      <c r="O244" t="str" cm="1">
        <f t="array" ref="O244">IFERROR(_xlfn.XLOOKUP(C244,AgentMaster[[#All],[Agent ID]],AgentMaster[[#All],[Agent Name]]),"")</f>
        <v>Agent 137</v>
      </c>
      <c r="P244">
        <f t="shared" si="16"/>
        <v>11</v>
      </c>
    </row>
    <row r="245" spans="1:16" x14ac:dyDescent="0.3">
      <c r="A245" t="s">
        <v>367</v>
      </c>
      <c r="B245" s="5">
        <v>46244</v>
      </c>
      <c r="C245" t="s">
        <v>172</v>
      </c>
      <c r="D245" t="s">
        <v>71</v>
      </c>
      <c r="E245">
        <v>5000</v>
      </c>
      <c r="F245" t="s">
        <v>72</v>
      </c>
      <c r="G245" t="s">
        <v>73</v>
      </c>
      <c r="H245" t="s">
        <v>96</v>
      </c>
      <c r="I245" t="str">
        <f t="shared" si="13"/>
        <v>2026-08</v>
      </c>
      <c r="J245" t="str">
        <f ca="1">IFERROR(_xludf.XLOOKUP(C245,'Agent Master'!$A:$A,'Agent Master'!$B:$B,"Missing"),"Missing")</f>
        <v>Missing</v>
      </c>
      <c r="K245" t="str">
        <f ca="1">IFERROR(_xludf.XLOOKUP(C245,'Agent Master'!$A:$A,'Agent Master'!$C:$C,"Missing"),"Missing")</f>
        <v>Missing</v>
      </c>
      <c r="L245" t="str">
        <f t="shared" si="14"/>
        <v>August</v>
      </c>
      <c r="M245" t="str">
        <f>_xlfn.XLOOKUP('Transaction Data'!D245,ProductMap[Product Code],ProductMap[Product Name])</f>
        <v>AEPS</v>
      </c>
      <c r="N245" t="str">
        <f t="shared" si="15"/>
        <v>2026-08</v>
      </c>
      <c r="O245" t="str" cm="1">
        <f t="array" ref="O245">IFERROR(_xlfn.XLOOKUP(C245,AgentMaster[[#All],[Agent ID]],AgentMaster[[#All],[Agent Name]]),"")</f>
        <v>Agent 129</v>
      </c>
      <c r="P245">
        <f t="shared" si="16"/>
        <v>18</v>
      </c>
    </row>
    <row r="246" spans="1:16" x14ac:dyDescent="0.3">
      <c r="A246" t="s">
        <v>368</v>
      </c>
      <c r="B246" s="5">
        <v>46285</v>
      </c>
      <c r="C246" t="s">
        <v>89</v>
      </c>
      <c r="D246" t="s">
        <v>95</v>
      </c>
      <c r="E246">
        <v>250</v>
      </c>
      <c r="F246" t="s">
        <v>72</v>
      </c>
      <c r="G246" t="s">
        <v>73</v>
      </c>
      <c r="H246" t="s">
        <v>81</v>
      </c>
      <c r="I246" t="str">
        <f t="shared" si="13"/>
        <v>2026-09</v>
      </c>
      <c r="J246" t="str">
        <f ca="1">IFERROR(_xludf.XLOOKUP(C246,'Agent Master'!$A:$A,'Agent Master'!$B:$B,"Missing"),"Missing")</f>
        <v>Missing</v>
      </c>
      <c r="K246" t="str">
        <f ca="1">IFERROR(_xludf.XLOOKUP(C246,'Agent Master'!$A:$A,'Agent Master'!$C:$C,"Missing"),"Missing")</f>
        <v>Missing</v>
      </c>
      <c r="L246" t="str">
        <f t="shared" si="14"/>
        <v>September</v>
      </c>
      <c r="M246" t="str">
        <f>_xlfn.XLOOKUP('Transaction Data'!D246,ProductMap[Product Code],ProductMap[Product Name])</f>
        <v>BBPS</v>
      </c>
      <c r="N246" t="str">
        <f t="shared" si="15"/>
        <v>2026-09</v>
      </c>
      <c r="O246" t="str" cm="1">
        <f t="array" ref="O246">IFERROR(_xlfn.XLOOKUP(C246,AgentMaster[[#All],[Agent ID]],AgentMaster[[#All],[Agent Name]]),"")</f>
        <v>Agent 118</v>
      </c>
      <c r="P246">
        <f t="shared" si="16"/>
        <v>11</v>
      </c>
    </row>
    <row r="247" spans="1:16" x14ac:dyDescent="0.3">
      <c r="A247" t="s">
        <v>369</v>
      </c>
      <c r="B247" s="5">
        <v>46254</v>
      </c>
      <c r="C247" t="s">
        <v>94</v>
      </c>
      <c r="D247" t="s">
        <v>110</v>
      </c>
      <c r="E247">
        <v>250</v>
      </c>
      <c r="F247" t="s">
        <v>72</v>
      </c>
      <c r="G247" t="s">
        <v>84</v>
      </c>
      <c r="H247" t="s">
        <v>96</v>
      </c>
      <c r="I247" t="str">
        <f t="shared" si="13"/>
        <v>2026-08</v>
      </c>
      <c r="J247" t="str">
        <f ca="1">IFERROR(_xludf.XLOOKUP(C247,'Agent Master'!$A:$A,'Agent Master'!$B:$B,"Missing"),"Missing")</f>
        <v>Missing</v>
      </c>
      <c r="K247" t="str">
        <f ca="1">IFERROR(_xludf.XLOOKUP(C247,'Agent Master'!$A:$A,'Agent Master'!$C:$C,"Missing"),"Missing")</f>
        <v>Missing</v>
      </c>
      <c r="L247" t="str">
        <f t="shared" si="14"/>
        <v>August</v>
      </c>
      <c r="M247" t="str">
        <f>_xlfn.XLOOKUP('Transaction Data'!D247,ProductMap[Product Code],ProductMap[Product Name])</f>
        <v>DMT</v>
      </c>
      <c r="N247" t="str">
        <f t="shared" si="15"/>
        <v>2026-08</v>
      </c>
      <c r="O247" t="str" cm="1">
        <f t="array" ref="O247">IFERROR(_xlfn.XLOOKUP(C247,AgentMaster[[#All],[Agent ID]],AgentMaster[[#All],[Agent Name]]),"")</f>
        <v>Agent 130</v>
      </c>
      <c r="P247">
        <f t="shared" si="16"/>
        <v>16</v>
      </c>
    </row>
    <row r="248" spans="1:16" x14ac:dyDescent="0.3">
      <c r="A248" t="s">
        <v>370</v>
      </c>
      <c r="B248" s="5">
        <v>46239</v>
      </c>
      <c r="D248" t="s">
        <v>71</v>
      </c>
      <c r="E248">
        <v>10000</v>
      </c>
      <c r="F248" t="s">
        <v>92</v>
      </c>
      <c r="G248" t="s">
        <v>73</v>
      </c>
      <c r="H248" t="s">
        <v>78</v>
      </c>
      <c r="I248" t="str">
        <f t="shared" si="13"/>
        <v>2026-08</v>
      </c>
      <c r="J248" t="str">
        <f ca="1">IFERROR(_xludf.XLOOKUP(C248,'Agent Master'!$A:$A,'Agent Master'!$B:$B,"Missing"),"Missing")</f>
        <v>Missing</v>
      </c>
      <c r="K248" t="str">
        <f ca="1">IFERROR(_xludf.XLOOKUP(C248,'Agent Master'!$A:$A,'Agent Master'!$C:$C,"Missing"),"Missing")</f>
        <v>Missing</v>
      </c>
      <c r="L248" t="str">
        <f t="shared" si="14"/>
        <v>August</v>
      </c>
      <c r="M248" t="str">
        <f>_xlfn.XLOOKUP('Transaction Data'!D248,ProductMap[Product Code],ProductMap[Product Name])</f>
        <v>AEPS</v>
      </c>
      <c r="N248" t="str">
        <f t="shared" si="15"/>
        <v>2026-08</v>
      </c>
      <c r="O248" t="str" cm="1">
        <f t="array" ref="O248">IFERROR(_xlfn.XLOOKUP(C248,AgentMaster[[#All],[Agent ID]],AgentMaster[[#All],[Agent Name]]),"")</f>
        <v/>
      </c>
      <c r="P248">
        <f t="shared" si="16"/>
        <v>25</v>
      </c>
    </row>
    <row r="249" spans="1:16" x14ac:dyDescent="0.3">
      <c r="A249" t="s">
        <v>371</v>
      </c>
      <c r="B249" s="5">
        <v>46264</v>
      </c>
      <c r="C249" t="s">
        <v>86</v>
      </c>
      <c r="D249" t="s">
        <v>95</v>
      </c>
      <c r="E249">
        <v>20000</v>
      </c>
      <c r="F249" t="s">
        <v>72</v>
      </c>
      <c r="G249" t="s">
        <v>84</v>
      </c>
      <c r="H249" t="s">
        <v>74</v>
      </c>
      <c r="I249" t="str">
        <f t="shared" si="13"/>
        <v>2026-08</v>
      </c>
      <c r="J249" t="str">
        <f ca="1">IFERROR(_xludf.XLOOKUP(C249,'Agent Master'!$A:$A,'Agent Master'!$B:$B,"Missing"),"Missing")</f>
        <v>Missing</v>
      </c>
      <c r="K249" t="str">
        <f ca="1">IFERROR(_xludf.XLOOKUP(C249,'Agent Master'!$A:$A,'Agent Master'!$C:$C,"Missing"),"Missing")</f>
        <v>Missing</v>
      </c>
      <c r="L249" t="str">
        <f t="shared" si="14"/>
        <v>August</v>
      </c>
      <c r="M249" t="str">
        <f>_xlfn.XLOOKUP('Transaction Data'!D249,ProductMap[Product Code],ProductMap[Product Name])</f>
        <v>BBPS</v>
      </c>
      <c r="N249" t="str">
        <f t="shared" si="15"/>
        <v>2026-08</v>
      </c>
      <c r="O249" t="str" cm="1">
        <f t="array" ref="O249">IFERROR(_xlfn.XLOOKUP(C249,AgentMaster[[#All],[Agent ID]],AgentMaster[[#All],[Agent Name]]),"")</f>
        <v>Agent 138</v>
      </c>
      <c r="P249">
        <f t="shared" si="16"/>
        <v>4</v>
      </c>
    </row>
    <row r="250" spans="1:16" x14ac:dyDescent="0.3">
      <c r="A250" t="s">
        <v>372</v>
      </c>
      <c r="B250" s="5">
        <v>46255</v>
      </c>
      <c r="C250" t="s">
        <v>255</v>
      </c>
      <c r="D250" t="s">
        <v>110</v>
      </c>
      <c r="E250">
        <v>7500</v>
      </c>
      <c r="F250" t="s">
        <v>72</v>
      </c>
      <c r="G250" t="s">
        <v>73</v>
      </c>
      <c r="H250" t="s">
        <v>78</v>
      </c>
      <c r="I250" t="str">
        <f t="shared" si="13"/>
        <v>2026-08</v>
      </c>
      <c r="J250" t="str">
        <f ca="1">IFERROR(_xludf.XLOOKUP(C250,'Agent Master'!$A:$A,'Agent Master'!$B:$B,"Missing"),"Missing")</f>
        <v>Missing</v>
      </c>
      <c r="K250" t="str">
        <f ca="1">IFERROR(_xludf.XLOOKUP(C250,'Agent Master'!$A:$A,'Agent Master'!$C:$C,"Missing"),"Missing")</f>
        <v>Missing</v>
      </c>
      <c r="L250" t="str">
        <f t="shared" si="14"/>
        <v>August</v>
      </c>
      <c r="M250" t="str">
        <f>_xlfn.XLOOKUP('Transaction Data'!D250,ProductMap[Product Code],ProductMap[Product Name])</f>
        <v>DMT</v>
      </c>
      <c r="N250" t="str">
        <f t="shared" si="15"/>
        <v>2026-08</v>
      </c>
      <c r="O250" t="str" cm="1">
        <f t="array" ref="O250">IFERROR(_xlfn.XLOOKUP(C250,AgentMaster[[#All],[Agent ID]],AgentMaster[[#All],[Agent Name]]),"")</f>
        <v>Agent 139</v>
      </c>
      <c r="P250">
        <f t="shared" si="16"/>
        <v>10</v>
      </c>
    </row>
    <row r="251" spans="1:16" x14ac:dyDescent="0.3">
      <c r="A251" t="s">
        <v>373</v>
      </c>
      <c r="B251" s="5">
        <v>46241</v>
      </c>
      <c r="C251" t="s">
        <v>191</v>
      </c>
      <c r="D251" t="s">
        <v>77</v>
      </c>
      <c r="E251">
        <v>500</v>
      </c>
      <c r="F251" t="s">
        <v>72</v>
      </c>
      <c r="G251" t="s">
        <v>73</v>
      </c>
      <c r="H251" t="s">
        <v>74</v>
      </c>
      <c r="I251" t="str">
        <f t="shared" si="13"/>
        <v>2026-08</v>
      </c>
      <c r="J251" t="str">
        <f ca="1">IFERROR(_xludf.XLOOKUP(C251,'Agent Master'!$A:$A,'Agent Master'!$B:$B,"Missing"),"Missing")</f>
        <v>Missing</v>
      </c>
      <c r="K251" t="str">
        <f ca="1">IFERROR(_xludf.XLOOKUP(C251,'Agent Master'!$A:$A,'Agent Master'!$C:$C,"Missing"),"Missing")</f>
        <v>Missing</v>
      </c>
      <c r="L251" t="str">
        <f t="shared" si="14"/>
        <v>August</v>
      </c>
      <c r="M251" t="str">
        <f>_xlfn.XLOOKUP('Transaction Data'!D251,ProductMap[Product Code],ProductMap[Product Name])</f>
        <v>MATM</v>
      </c>
      <c r="N251" t="str">
        <f t="shared" si="15"/>
        <v>2026-08</v>
      </c>
      <c r="O251" t="str" cm="1">
        <f t="array" ref="O251">IFERROR(_xlfn.XLOOKUP(C251,AgentMaster[[#All],[Agent ID]],AgentMaster[[#All],[Agent Name]]),"")</f>
        <v>Agent 122</v>
      </c>
      <c r="P251">
        <f t="shared" si="16"/>
        <v>7</v>
      </c>
    </row>
    <row r="252" spans="1:16" x14ac:dyDescent="0.3">
      <c r="A252" t="s">
        <v>374</v>
      </c>
      <c r="B252" s="5">
        <v>46237</v>
      </c>
      <c r="C252" t="s">
        <v>104</v>
      </c>
      <c r="D252" t="s">
        <v>77</v>
      </c>
      <c r="E252">
        <v>5000</v>
      </c>
      <c r="F252" t="s">
        <v>72</v>
      </c>
      <c r="G252" t="s">
        <v>73</v>
      </c>
      <c r="H252" t="s">
        <v>74</v>
      </c>
      <c r="I252" t="str">
        <f t="shared" si="13"/>
        <v>2026-08</v>
      </c>
      <c r="J252" t="str">
        <f ca="1">IFERROR(_xludf.XLOOKUP(C252,'Agent Master'!$A:$A,'Agent Master'!$B:$B,"Missing"),"Missing")</f>
        <v>Missing</v>
      </c>
      <c r="K252" t="str">
        <f ca="1">IFERROR(_xludf.XLOOKUP(C252,'Agent Master'!$A:$A,'Agent Master'!$C:$C,"Missing"),"Missing")</f>
        <v>Missing</v>
      </c>
      <c r="L252" t="str">
        <f t="shared" si="14"/>
        <v>August</v>
      </c>
      <c r="M252" t="str">
        <f>_xlfn.XLOOKUP('Transaction Data'!D252,ProductMap[Product Code],ProductMap[Product Name])</f>
        <v>MATM</v>
      </c>
      <c r="N252" t="str">
        <f t="shared" si="15"/>
        <v>2026-08</v>
      </c>
      <c r="O252" t="str" cm="1">
        <f t="array" ref="O252">IFERROR(_xlfn.XLOOKUP(C252,AgentMaster[[#All],[Agent ID]],AgentMaster[[#All],[Agent Name]]),"")</f>
        <v>Agent 116</v>
      </c>
      <c r="P252">
        <f t="shared" si="16"/>
        <v>15</v>
      </c>
    </row>
    <row r="253" spans="1:16" x14ac:dyDescent="0.3">
      <c r="A253" t="s">
        <v>375</v>
      </c>
      <c r="B253" s="5">
        <v>46258</v>
      </c>
      <c r="C253" t="s">
        <v>122</v>
      </c>
      <c r="D253" t="s">
        <v>87</v>
      </c>
      <c r="E253">
        <v>2500</v>
      </c>
      <c r="F253" t="s">
        <v>72</v>
      </c>
      <c r="G253" t="s">
        <v>84</v>
      </c>
      <c r="H253" t="s">
        <v>81</v>
      </c>
      <c r="I253" t="str">
        <f t="shared" si="13"/>
        <v>2026-08</v>
      </c>
      <c r="J253" t="str">
        <f ca="1">IFERROR(_xludf.XLOOKUP(C253,'Agent Master'!$A:$A,'Agent Master'!$B:$B,"Missing"),"Missing")</f>
        <v>Missing</v>
      </c>
      <c r="K253" t="str">
        <f ca="1">IFERROR(_xludf.XLOOKUP(C253,'Agent Master'!$A:$A,'Agent Master'!$C:$C,"Missing"),"Missing")</f>
        <v>Missing</v>
      </c>
      <c r="L253" t="str">
        <f t="shared" si="14"/>
        <v>August</v>
      </c>
      <c r="M253" t="str">
        <f>_xlfn.XLOOKUP('Transaction Data'!D253,ProductMap[Product Code],ProductMap[Product Name])</f>
        <v>APAY</v>
      </c>
      <c r="N253" t="str">
        <f t="shared" si="15"/>
        <v>2026-08</v>
      </c>
      <c r="O253" t="str" cm="1">
        <f t="array" ref="O253">IFERROR(_xlfn.XLOOKUP(C253,AgentMaster[[#All],[Agent ID]],AgentMaster[[#All],[Agent Name]]),"")</f>
        <v>Agent 124</v>
      </c>
      <c r="P253">
        <f t="shared" si="16"/>
        <v>11</v>
      </c>
    </row>
    <row r="254" spans="1:16" x14ac:dyDescent="0.3">
      <c r="A254" t="s">
        <v>376</v>
      </c>
      <c r="B254" s="5">
        <v>46285</v>
      </c>
      <c r="C254" t="s">
        <v>98</v>
      </c>
      <c r="D254" t="s">
        <v>77</v>
      </c>
      <c r="E254">
        <v>2000</v>
      </c>
      <c r="F254" t="s">
        <v>72</v>
      </c>
      <c r="G254" t="s">
        <v>84</v>
      </c>
      <c r="H254" t="s">
        <v>81</v>
      </c>
      <c r="I254" t="str">
        <f t="shared" si="13"/>
        <v>2026-09</v>
      </c>
      <c r="J254" t="str">
        <f ca="1">IFERROR(_xludf.XLOOKUP(C254,'Agent Master'!$A:$A,'Agent Master'!$B:$B,"Missing"),"Missing")</f>
        <v>Missing</v>
      </c>
      <c r="K254" t="str">
        <f ca="1">IFERROR(_xludf.XLOOKUP(C254,'Agent Master'!$A:$A,'Agent Master'!$C:$C,"Missing"),"Missing")</f>
        <v>Missing</v>
      </c>
      <c r="L254" t="str">
        <f t="shared" si="14"/>
        <v>September</v>
      </c>
      <c r="M254" t="str">
        <f>_xlfn.XLOOKUP('Transaction Data'!D254,ProductMap[Product Code],ProductMap[Product Name])</f>
        <v>MATM</v>
      </c>
      <c r="N254" t="str">
        <f t="shared" si="15"/>
        <v>2026-09</v>
      </c>
      <c r="O254" t="str" cm="1">
        <f t="array" ref="O254">IFERROR(_xlfn.XLOOKUP(C254,AgentMaster[[#All],[Agent ID]],AgentMaster[[#All],[Agent Name]]),"")</f>
        <v/>
      </c>
      <c r="P254">
        <f t="shared" si="16"/>
        <v>25</v>
      </c>
    </row>
    <row r="255" spans="1:16" x14ac:dyDescent="0.3">
      <c r="A255" t="s">
        <v>377</v>
      </c>
      <c r="B255" s="5">
        <v>46270</v>
      </c>
      <c r="C255" t="s">
        <v>147</v>
      </c>
      <c r="D255" t="s">
        <v>87</v>
      </c>
      <c r="E255">
        <v>1500</v>
      </c>
      <c r="F255" t="s">
        <v>92</v>
      </c>
      <c r="G255" t="s">
        <v>73</v>
      </c>
      <c r="H255" t="s">
        <v>96</v>
      </c>
      <c r="I255" t="str">
        <f t="shared" si="13"/>
        <v>2026-09</v>
      </c>
      <c r="J255" t="str">
        <f ca="1">IFERROR(_xludf.XLOOKUP(C255,'Agent Master'!$A:$A,'Agent Master'!$B:$B,"Missing"),"Missing")</f>
        <v>Missing</v>
      </c>
      <c r="K255" t="str">
        <f ca="1">IFERROR(_xludf.XLOOKUP(C255,'Agent Master'!$A:$A,'Agent Master'!$C:$C,"Missing"),"Missing")</f>
        <v>Missing</v>
      </c>
      <c r="L255" t="str">
        <f t="shared" si="14"/>
        <v>September</v>
      </c>
      <c r="M255" t="str">
        <f>_xlfn.XLOOKUP('Transaction Data'!D255,ProductMap[Product Code],ProductMap[Product Name])</f>
        <v>APAY</v>
      </c>
      <c r="N255" t="str">
        <f t="shared" si="15"/>
        <v>2026-09</v>
      </c>
      <c r="O255" t="str" cm="1">
        <f t="array" ref="O255">IFERROR(_xlfn.XLOOKUP(C255,AgentMaster[[#All],[Agent ID]],AgentMaster[[#All],[Agent Name]]),"")</f>
        <v>Agent 125</v>
      </c>
      <c r="P255">
        <f t="shared" si="16"/>
        <v>7</v>
      </c>
    </row>
    <row r="256" spans="1:16" x14ac:dyDescent="0.3">
      <c r="A256" t="s">
        <v>378</v>
      </c>
      <c r="B256" s="5">
        <v>46240</v>
      </c>
      <c r="C256" t="s">
        <v>86</v>
      </c>
      <c r="D256" t="s">
        <v>77</v>
      </c>
      <c r="E256">
        <v>750</v>
      </c>
      <c r="F256" t="s">
        <v>72</v>
      </c>
      <c r="G256" t="s">
        <v>84</v>
      </c>
      <c r="H256" t="s">
        <v>78</v>
      </c>
      <c r="I256" t="str">
        <f t="shared" si="13"/>
        <v>2026-08</v>
      </c>
      <c r="J256" t="str">
        <f ca="1">IFERROR(_xludf.XLOOKUP(C256,'Agent Master'!$A:$A,'Agent Master'!$B:$B,"Missing"),"Missing")</f>
        <v>Missing</v>
      </c>
      <c r="K256" t="str">
        <f ca="1">IFERROR(_xludf.XLOOKUP(C256,'Agent Master'!$A:$A,'Agent Master'!$C:$C,"Missing"),"Missing")</f>
        <v>Missing</v>
      </c>
      <c r="L256" t="str">
        <f t="shared" si="14"/>
        <v>August</v>
      </c>
      <c r="M256" t="str">
        <f>_xlfn.XLOOKUP('Transaction Data'!D256,ProductMap[Product Code],ProductMap[Product Name])</f>
        <v>MATM</v>
      </c>
      <c r="N256" t="str">
        <f t="shared" si="15"/>
        <v>2026-08</v>
      </c>
      <c r="O256" t="str" cm="1">
        <f t="array" ref="O256">IFERROR(_xlfn.XLOOKUP(C256,AgentMaster[[#All],[Agent ID]],AgentMaster[[#All],[Agent Name]]),"")</f>
        <v>Agent 138</v>
      </c>
      <c r="P256">
        <f t="shared" si="16"/>
        <v>4</v>
      </c>
    </row>
    <row r="257" spans="1:16" x14ac:dyDescent="0.3">
      <c r="A257" t="s">
        <v>379</v>
      </c>
      <c r="B257" s="5">
        <v>46243</v>
      </c>
      <c r="C257" t="s">
        <v>255</v>
      </c>
      <c r="D257" t="s">
        <v>77</v>
      </c>
      <c r="E257">
        <v>500</v>
      </c>
      <c r="F257" t="s">
        <v>72</v>
      </c>
      <c r="G257" t="s">
        <v>73</v>
      </c>
      <c r="H257" t="s">
        <v>78</v>
      </c>
      <c r="I257" t="str">
        <f t="shared" si="13"/>
        <v>2026-08</v>
      </c>
      <c r="J257" t="str">
        <f ca="1">IFERROR(_xludf.XLOOKUP(C257,'Agent Master'!$A:$A,'Agent Master'!$B:$B,"Missing"),"Missing")</f>
        <v>Missing</v>
      </c>
      <c r="K257" t="str">
        <f ca="1">IFERROR(_xludf.XLOOKUP(C257,'Agent Master'!$A:$A,'Agent Master'!$C:$C,"Missing"),"Missing")</f>
        <v>Missing</v>
      </c>
      <c r="L257" t="str">
        <f t="shared" si="14"/>
        <v>August</v>
      </c>
      <c r="M257" t="str">
        <f>_xlfn.XLOOKUP('Transaction Data'!D257,ProductMap[Product Code],ProductMap[Product Name])</f>
        <v>MATM</v>
      </c>
      <c r="N257" t="str">
        <f t="shared" si="15"/>
        <v>2026-08</v>
      </c>
      <c r="O257" t="str" cm="1">
        <f t="array" ref="O257">IFERROR(_xlfn.XLOOKUP(C257,AgentMaster[[#All],[Agent ID]],AgentMaster[[#All],[Agent Name]]),"")</f>
        <v>Agent 139</v>
      </c>
      <c r="P257">
        <f t="shared" si="16"/>
        <v>10</v>
      </c>
    </row>
    <row r="258" spans="1:16" x14ac:dyDescent="0.3">
      <c r="A258" t="s">
        <v>380</v>
      </c>
      <c r="B258" s="5">
        <v>46276</v>
      </c>
      <c r="C258" t="s">
        <v>191</v>
      </c>
      <c r="D258" t="s">
        <v>90</v>
      </c>
      <c r="E258">
        <v>12500</v>
      </c>
      <c r="F258" t="s">
        <v>72</v>
      </c>
      <c r="G258" t="s">
        <v>73</v>
      </c>
      <c r="H258" t="s">
        <v>78</v>
      </c>
      <c r="I258" t="str">
        <f t="shared" ref="I258:I321" si="17">TEXT(B258,"yyyy-mm")</f>
        <v>2026-09</v>
      </c>
      <c r="J258" t="str">
        <f ca="1">IFERROR(_xludf.XLOOKUP(C258,'Agent Master'!$A:$A,'Agent Master'!$B:$B,"Missing"),"Missing")</f>
        <v>Missing</v>
      </c>
      <c r="K258" t="str">
        <f ca="1">IFERROR(_xludf.XLOOKUP(C258,'Agent Master'!$A:$A,'Agent Master'!$C:$C,"Missing"),"Missing")</f>
        <v>Missing</v>
      </c>
      <c r="L258" t="str">
        <f t="shared" si="14"/>
        <v>September</v>
      </c>
      <c r="M258" t="str">
        <f>_xlfn.XLOOKUP('Transaction Data'!D258,ProductMap[Product Code],ProductMap[Product Name])</f>
        <v>UPI</v>
      </c>
      <c r="N258" t="str">
        <f t="shared" si="15"/>
        <v>2026-09</v>
      </c>
      <c r="O258" t="str" cm="1">
        <f t="array" ref="O258">IFERROR(_xlfn.XLOOKUP(C258,AgentMaster[[#All],[Agent ID]],AgentMaster[[#All],[Agent Name]]),"")</f>
        <v>Agent 122</v>
      </c>
      <c r="P258">
        <f t="shared" si="16"/>
        <v>7</v>
      </c>
    </row>
    <row r="259" spans="1:16" x14ac:dyDescent="0.3">
      <c r="A259" t="s">
        <v>381</v>
      </c>
      <c r="B259" s="5">
        <v>46267</v>
      </c>
      <c r="C259" t="s">
        <v>122</v>
      </c>
      <c r="D259" t="s">
        <v>71</v>
      </c>
      <c r="E259">
        <v>2000</v>
      </c>
      <c r="F259" t="s">
        <v>72</v>
      </c>
      <c r="G259" t="s">
        <v>73</v>
      </c>
      <c r="H259" t="s">
        <v>74</v>
      </c>
      <c r="I259" t="str">
        <f t="shared" si="17"/>
        <v>2026-09</v>
      </c>
      <c r="J259" t="str">
        <f ca="1">IFERROR(_xludf.XLOOKUP(C259,'Agent Master'!$A:$A,'Agent Master'!$B:$B,"Missing"),"Missing")</f>
        <v>Missing</v>
      </c>
      <c r="K259" t="str">
        <f ca="1">IFERROR(_xludf.XLOOKUP(C259,'Agent Master'!$A:$A,'Agent Master'!$C:$C,"Missing"),"Missing")</f>
        <v>Missing</v>
      </c>
      <c r="L259" t="str">
        <f t="shared" ref="L259:L322" si="18">TEXT(B259,"mmmm")</f>
        <v>September</v>
      </c>
      <c r="M259" t="str">
        <f>_xlfn.XLOOKUP('Transaction Data'!D259,ProductMap[Product Code],ProductMap[Product Name])</f>
        <v>AEPS</v>
      </c>
      <c r="N259" t="str">
        <f t="shared" ref="N259:N322" si="19">TEXT(B259,"yyyy-mm")</f>
        <v>2026-09</v>
      </c>
      <c r="O259" t="str" cm="1">
        <f t="array" ref="O259">IFERROR(_xlfn.XLOOKUP(C259,AgentMaster[[#All],[Agent ID]],AgentMaster[[#All],[Agent Name]]),"")</f>
        <v>Agent 124</v>
      </c>
      <c r="P259">
        <f t="shared" ref="P259:P322" si="20">COUNTIFS(O:O,O259,F:F,"Success")</f>
        <v>11</v>
      </c>
    </row>
    <row r="260" spans="1:16" x14ac:dyDescent="0.3">
      <c r="A260" t="s">
        <v>382</v>
      </c>
      <c r="B260" s="5">
        <v>46256</v>
      </c>
      <c r="C260" t="s">
        <v>136</v>
      </c>
      <c r="D260" t="s">
        <v>90</v>
      </c>
      <c r="E260">
        <v>1000</v>
      </c>
      <c r="F260" t="s">
        <v>72</v>
      </c>
      <c r="G260" t="s">
        <v>73</v>
      </c>
      <c r="H260" t="s">
        <v>81</v>
      </c>
      <c r="I260" t="str">
        <f t="shared" si="17"/>
        <v>2026-08</v>
      </c>
      <c r="J260" t="str">
        <f ca="1">IFERROR(_xludf.XLOOKUP(C260,'Agent Master'!$A:$A,'Agent Master'!$B:$B,"Missing"),"Missing")</f>
        <v>Missing</v>
      </c>
      <c r="K260" t="str">
        <f ca="1">IFERROR(_xludf.XLOOKUP(C260,'Agent Master'!$A:$A,'Agent Master'!$C:$C,"Missing"),"Missing")</f>
        <v>Missing</v>
      </c>
      <c r="L260" t="str">
        <f t="shared" si="18"/>
        <v>August</v>
      </c>
      <c r="M260" t="str">
        <f>_xlfn.XLOOKUP('Transaction Data'!D260,ProductMap[Product Code],ProductMap[Product Name])</f>
        <v>UPI</v>
      </c>
      <c r="N260" t="str">
        <f t="shared" si="19"/>
        <v>2026-08</v>
      </c>
      <c r="O260" t="str" cm="1">
        <f t="array" ref="O260">IFERROR(_xlfn.XLOOKUP(C260,AgentMaster[[#All],[Agent ID]],AgentMaster[[#All],[Agent Name]]),"")</f>
        <v>Agent 132</v>
      </c>
      <c r="P260">
        <f t="shared" si="20"/>
        <v>8</v>
      </c>
    </row>
    <row r="261" spans="1:16" x14ac:dyDescent="0.3">
      <c r="A261" t="s">
        <v>383</v>
      </c>
      <c r="B261" s="5">
        <v>46253</v>
      </c>
      <c r="C261" t="s">
        <v>76</v>
      </c>
      <c r="D261" t="s">
        <v>95</v>
      </c>
      <c r="E261">
        <v>20000</v>
      </c>
      <c r="F261" t="s">
        <v>72</v>
      </c>
      <c r="G261" t="s">
        <v>73</v>
      </c>
      <c r="H261" t="s">
        <v>81</v>
      </c>
      <c r="I261" t="str">
        <f t="shared" si="17"/>
        <v>2026-08</v>
      </c>
      <c r="J261" t="str">
        <f ca="1">IFERROR(_xludf.XLOOKUP(C261,'Agent Master'!$A:$A,'Agent Master'!$B:$B,"Missing"),"Missing")</f>
        <v>Missing</v>
      </c>
      <c r="K261" t="str">
        <f ca="1">IFERROR(_xludf.XLOOKUP(C261,'Agent Master'!$A:$A,'Agent Master'!$C:$C,"Missing"),"Missing")</f>
        <v>Missing</v>
      </c>
      <c r="L261" t="str">
        <f t="shared" si="18"/>
        <v>August</v>
      </c>
      <c r="M261" t="str">
        <f>_xlfn.XLOOKUP('Transaction Data'!D261,ProductMap[Product Code],ProductMap[Product Name])</f>
        <v>BBPS</v>
      </c>
      <c r="N261" t="str">
        <f t="shared" si="19"/>
        <v>2026-08</v>
      </c>
      <c r="O261" t="str" cm="1">
        <f t="array" ref="O261">IFERROR(_xlfn.XLOOKUP(C261,AgentMaster[[#All],[Agent ID]],AgentMaster[[#All],[Agent Name]]),"")</f>
        <v>Agent 107</v>
      </c>
      <c r="P261">
        <f t="shared" si="20"/>
        <v>16</v>
      </c>
    </row>
    <row r="262" spans="1:16" x14ac:dyDescent="0.3">
      <c r="A262" t="s">
        <v>384</v>
      </c>
      <c r="B262" s="5">
        <v>46277</v>
      </c>
      <c r="C262" t="s">
        <v>191</v>
      </c>
      <c r="D262" t="s">
        <v>95</v>
      </c>
      <c r="E262">
        <v>750</v>
      </c>
      <c r="F262" t="s">
        <v>92</v>
      </c>
      <c r="G262" t="s">
        <v>84</v>
      </c>
      <c r="H262" t="s">
        <v>74</v>
      </c>
      <c r="I262" t="str">
        <f t="shared" si="17"/>
        <v>2026-09</v>
      </c>
      <c r="J262" t="str">
        <f ca="1">IFERROR(_xludf.XLOOKUP(C262,'Agent Master'!$A:$A,'Agent Master'!$B:$B,"Missing"),"Missing")</f>
        <v>Missing</v>
      </c>
      <c r="K262" t="str">
        <f ca="1">IFERROR(_xludf.XLOOKUP(C262,'Agent Master'!$A:$A,'Agent Master'!$C:$C,"Missing"),"Missing")</f>
        <v>Missing</v>
      </c>
      <c r="L262" t="str">
        <f t="shared" si="18"/>
        <v>September</v>
      </c>
      <c r="M262" t="str">
        <f>_xlfn.XLOOKUP('Transaction Data'!D262,ProductMap[Product Code],ProductMap[Product Name])</f>
        <v>BBPS</v>
      </c>
      <c r="N262" t="str">
        <f t="shared" si="19"/>
        <v>2026-09</v>
      </c>
      <c r="O262" t="str" cm="1">
        <f t="array" ref="O262">IFERROR(_xlfn.XLOOKUP(C262,AgentMaster[[#All],[Agent ID]],AgentMaster[[#All],[Agent Name]]),"")</f>
        <v>Agent 122</v>
      </c>
      <c r="P262">
        <f t="shared" si="20"/>
        <v>7</v>
      </c>
    </row>
    <row r="263" spans="1:16" x14ac:dyDescent="0.3">
      <c r="A263" t="s">
        <v>385</v>
      </c>
      <c r="B263" s="5">
        <v>46245</v>
      </c>
      <c r="C263" t="s">
        <v>178</v>
      </c>
      <c r="D263" t="s">
        <v>77</v>
      </c>
      <c r="E263">
        <v>20000</v>
      </c>
      <c r="F263" t="s">
        <v>92</v>
      </c>
      <c r="G263" t="s">
        <v>73</v>
      </c>
      <c r="H263" t="s">
        <v>78</v>
      </c>
      <c r="I263" t="str">
        <f t="shared" si="17"/>
        <v>2026-08</v>
      </c>
      <c r="J263" t="str">
        <f ca="1">IFERROR(_xludf.XLOOKUP(C263,'Agent Master'!$A:$A,'Agent Master'!$B:$B,"Missing"),"Missing")</f>
        <v>Missing</v>
      </c>
      <c r="K263" t="str">
        <f ca="1">IFERROR(_xludf.XLOOKUP(C263,'Agent Master'!$A:$A,'Agent Master'!$C:$C,"Missing"),"Missing")</f>
        <v>Missing</v>
      </c>
      <c r="L263" t="str">
        <f t="shared" si="18"/>
        <v>August</v>
      </c>
      <c r="M263" t="str">
        <f>_xlfn.XLOOKUP('Transaction Data'!D263,ProductMap[Product Code],ProductMap[Product Name])</f>
        <v>MATM</v>
      </c>
      <c r="N263" t="str">
        <f t="shared" si="19"/>
        <v>2026-08</v>
      </c>
      <c r="O263" t="str" cm="1">
        <f t="array" ref="O263">IFERROR(_xlfn.XLOOKUP(C263,AgentMaster[[#All],[Agent ID]],AgentMaster[[#All],[Agent Name]]),"")</f>
        <v>Agent 112</v>
      </c>
      <c r="P263">
        <f t="shared" si="20"/>
        <v>7</v>
      </c>
    </row>
    <row r="264" spans="1:16" x14ac:dyDescent="0.3">
      <c r="A264" t="s">
        <v>386</v>
      </c>
      <c r="B264" s="5">
        <v>46237</v>
      </c>
      <c r="C264" t="s">
        <v>180</v>
      </c>
      <c r="D264" t="s">
        <v>87</v>
      </c>
      <c r="E264">
        <v>12500</v>
      </c>
      <c r="F264" t="s">
        <v>72</v>
      </c>
      <c r="G264" t="s">
        <v>84</v>
      </c>
      <c r="H264" t="s">
        <v>96</v>
      </c>
      <c r="I264" t="str">
        <f t="shared" si="17"/>
        <v>2026-08</v>
      </c>
      <c r="J264" t="str">
        <f ca="1">IFERROR(_xludf.XLOOKUP(C264,'Agent Master'!$A:$A,'Agent Master'!$B:$B,"Missing"),"Missing")</f>
        <v>Missing</v>
      </c>
      <c r="K264" t="str">
        <f ca="1">IFERROR(_xludf.XLOOKUP(C264,'Agent Master'!$A:$A,'Agent Master'!$C:$C,"Missing"),"Missing")</f>
        <v>Missing</v>
      </c>
      <c r="L264" t="str">
        <f t="shared" si="18"/>
        <v>August</v>
      </c>
      <c r="M264" t="str">
        <f>_xlfn.XLOOKUP('Transaction Data'!D264,ProductMap[Product Code],ProductMap[Product Name])</f>
        <v>APAY</v>
      </c>
      <c r="N264" t="str">
        <f t="shared" si="19"/>
        <v>2026-08</v>
      </c>
      <c r="O264" t="str" cm="1">
        <f t="array" ref="O264">IFERROR(_xlfn.XLOOKUP(C264,AgentMaster[[#All],[Agent ID]],AgentMaster[[#All],[Agent Name]]),"")</f>
        <v>Agent 127</v>
      </c>
      <c r="P264">
        <f t="shared" si="20"/>
        <v>11</v>
      </c>
    </row>
    <row r="265" spans="1:16" x14ac:dyDescent="0.3">
      <c r="A265" t="s">
        <v>387</v>
      </c>
      <c r="B265" s="5">
        <v>46283</v>
      </c>
      <c r="C265" t="s">
        <v>172</v>
      </c>
      <c r="D265" t="s">
        <v>90</v>
      </c>
      <c r="E265">
        <v>7500</v>
      </c>
      <c r="F265" t="s">
        <v>72</v>
      </c>
      <c r="G265" t="s">
        <v>84</v>
      </c>
      <c r="H265" t="s">
        <v>78</v>
      </c>
      <c r="I265" t="str">
        <f t="shared" si="17"/>
        <v>2026-09</v>
      </c>
      <c r="J265" t="str">
        <f ca="1">IFERROR(_xludf.XLOOKUP(C265,'Agent Master'!$A:$A,'Agent Master'!$B:$B,"Missing"),"Missing")</f>
        <v>Missing</v>
      </c>
      <c r="K265" t="str">
        <f ca="1">IFERROR(_xludf.XLOOKUP(C265,'Agent Master'!$A:$A,'Agent Master'!$C:$C,"Missing"),"Missing")</f>
        <v>Missing</v>
      </c>
      <c r="L265" t="str">
        <f t="shared" si="18"/>
        <v>September</v>
      </c>
      <c r="M265" t="str">
        <f>_xlfn.XLOOKUP('Transaction Data'!D265,ProductMap[Product Code],ProductMap[Product Name])</f>
        <v>UPI</v>
      </c>
      <c r="N265" t="str">
        <f t="shared" si="19"/>
        <v>2026-09</v>
      </c>
      <c r="O265" t="str" cm="1">
        <f t="array" ref="O265">IFERROR(_xlfn.XLOOKUP(C265,AgentMaster[[#All],[Agent ID]],AgentMaster[[#All],[Agent Name]]),"")</f>
        <v>Agent 129</v>
      </c>
      <c r="P265">
        <f t="shared" si="20"/>
        <v>18</v>
      </c>
    </row>
    <row r="266" spans="1:16" x14ac:dyDescent="0.3">
      <c r="A266" t="s">
        <v>388</v>
      </c>
      <c r="B266" s="5">
        <v>46292</v>
      </c>
      <c r="C266" t="s">
        <v>83</v>
      </c>
      <c r="D266" t="s">
        <v>87</v>
      </c>
      <c r="E266">
        <v>12500</v>
      </c>
      <c r="F266" t="s">
        <v>92</v>
      </c>
      <c r="G266" t="s">
        <v>84</v>
      </c>
      <c r="H266" t="s">
        <v>78</v>
      </c>
      <c r="I266" t="str">
        <f t="shared" si="17"/>
        <v>2026-09</v>
      </c>
      <c r="J266" t="str">
        <f ca="1">IFERROR(_xludf.XLOOKUP(C266,'Agent Master'!$A:$A,'Agent Master'!$B:$B,"Missing"),"Missing")</f>
        <v>Missing</v>
      </c>
      <c r="K266" t="str">
        <f ca="1">IFERROR(_xludf.XLOOKUP(C266,'Agent Master'!$A:$A,'Agent Master'!$C:$C,"Missing"),"Missing")</f>
        <v>Missing</v>
      </c>
      <c r="L266" t="str">
        <f t="shared" si="18"/>
        <v>September</v>
      </c>
      <c r="M266" t="str">
        <f>_xlfn.XLOOKUP('Transaction Data'!D266,ProductMap[Product Code],ProductMap[Product Name])</f>
        <v>APAY</v>
      </c>
      <c r="N266" t="str">
        <f t="shared" si="19"/>
        <v>2026-09</v>
      </c>
      <c r="O266" t="str" cm="1">
        <f t="array" ref="O266">IFERROR(_xlfn.XLOOKUP(C266,AgentMaster[[#All],[Agent ID]],AgentMaster[[#All],[Agent Name]]),"")</f>
        <v>Agent 113</v>
      </c>
      <c r="P266">
        <f t="shared" si="20"/>
        <v>12</v>
      </c>
    </row>
    <row r="267" spans="1:16" x14ac:dyDescent="0.3">
      <c r="A267" t="s">
        <v>389</v>
      </c>
      <c r="B267" s="5">
        <v>46284</v>
      </c>
      <c r="C267" t="s">
        <v>242</v>
      </c>
      <c r="D267" t="s">
        <v>110</v>
      </c>
      <c r="E267">
        <v>7500</v>
      </c>
      <c r="F267" t="s">
        <v>72</v>
      </c>
      <c r="G267" t="s">
        <v>84</v>
      </c>
      <c r="H267" t="s">
        <v>74</v>
      </c>
      <c r="I267" t="str">
        <f t="shared" si="17"/>
        <v>2026-09</v>
      </c>
      <c r="J267" t="str">
        <f ca="1">IFERROR(_xludf.XLOOKUP(C267,'Agent Master'!$A:$A,'Agent Master'!$B:$B,"Missing"),"Missing")</f>
        <v>Missing</v>
      </c>
      <c r="K267" t="str">
        <f ca="1">IFERROR(_xludf.XLOOKUP(C267,'Agent Master'!$A:$A,'Agent Master'!$C:$C,"Missing"),"Missing")</f>
        <v>Missing</v>
      </c>
      <c r="L267" t="str">
        <f t="shared" si="18"/>
        <v>September</v>
      </c>
      <c r="M267" t="str">
        <f>_xlfn.XLOOKUP('Transaction Data'!D267,ProductMap[Product Code],ProductMap[Product Name])</f>
        <v>DMT</v>
      </c>
      <c r="N267" t="str">
        <f t="shared" si="19"/>
        <v>2026-09</v>
      </c>
      <c r="O267" t="str" cm="1">
        <f t="array" ref="O267">IFERROR(_xlfn.XLOOKUP(C267,AgentMaster[[#All],[Agent ID]],AgentMaster[[#All],[Agent Name]]),"")</f>
        <v>Agent 119</v>
      </c>
      <c r="P267">
        <f t="shared" si="20"/>
        <v>13</v>
      </c>
    </row>
    <row r="268" spans="1:16" x14ac:dyDescent="0.3">
      <c r="A268" t="s">
        <v>390</v>
      </c>
      <c r="B268" s="5">
        <v>46287</v>
      </c>
      <c r="C268" t="s">
        <v>83</v>
      </c>
      <c r="D268" t="s">
        <v>95</v>
      </c>
      <c r="E268">
        <v>750</v>
      </c>
      <c r="F268" t="s">
        <v>72</v>
      </c>
      <c r="G268" t="s">
        <v>73</v>
      </c>
      <c r="H268" t="s">
        <v>78</v>
      </c>
      <c r="I268" t="str">
        <f t="shared" si="17"/>
        <v>2026-09</v>
      </c>
      <c r="J268" t="str">
        <f ca="1">IFERROR(_xludf.XLOOKUP(C268,'Agent Master'!$A:$A,'Agent Master'!$B:$B,"Missing"),"Missing")</f>
        <v>Missing</v>
      </c>
      <c r="K268" t="str">
        <f ca="1">IFERROR(_xludf.XLOOKUP(C268,'Agent Master'!$A:$A,'Agent Master'!$C:$C,"Missing"),"Missing")</f>
        <v>Missing</v>
      </c>
      <c r="L268" t="str">
        <f t="shared" si="18"/>
        <v>September</v>
      </c>
      <c r="M268" t="str">
        <f>_xlfn.XLOOKUP('Transaction Data'!D268,ProductMap[Product Code],ProductMap[Product Name])</f>
        <v>BBPS</v>
      </c>
      <c r="N268" t="str">
        <f t="shared" si="19"/>
        <v>2026-09</v>
      </c>
      <c r="O268" t="str" cm="1">
        <f t="array" ref="O268">IFERROR(_xlfn.XLOOKUP(C268,AgentMaster[[#All],[Agent ID]],AgentMaster[[#All],[Agent Name]]),"")</f>
        <v>Agent 113</v>
      </c>
      <c r="P268">
        <f t="shared" si="20"/>
        <v>12</v>
      </c>
    </row>
    <row r="269" spans="1:16" x14ac:dyDescent="0.3">
      <c r="A269" t="s">
        <v>391</v>
      </c>
      <c r="B269" s="5">
        <v>46290</v>
      </c>
      <c r="C269" t="s">
        <v>122</v>
      </c>
      <c r="D269" t="s">
        <v>95</v>
      </c>
      <c r="E269">
        <v>500</v>
      </c>
      <c r="F269" t="s">
        <v>72</v>
      </c>
      <c r="G269" t="s">
        <v>73</v>
      </c>
      <c r="H269" t="s">
        <v>96</v>
      </c>
      <c r="I269" t="str">
        <f t="shared" si="17"/>
        <v>2026-09</v>
      </c>
      <c r="J269" t="str">
        <f ca="1">IFERROR(_xludf.XLOOKUP(C269,'Agent Master'!$A:$A,'Agent Master'!$B:$B,"Missing"),"Missing")</f>
        <v>Missing</v>
      </c>
      <c r="K269" t="str">
        <f ca="1">IFERROR(_xludf.XLOOKUP(C269,'Agent Master'!$A:$A,'Agent Master'!$C:$C,"Missing"),"Missing")</f>
        <v>Missing</v>
      </c>
      <c r="L269" t="str">
        <f t="shared" si="18"/>
        <v>September</v>
      </c>
      <c r="M269" t="str">
        <f>_xlfn.XLOOKUP('Transaction Data'!D269,ProductMap[Product Code],ProductMap[Product Name])</f>
        <v>BBPS</v>
      </c>
      <c r="N269" t="str">
        <f t="shared" si="19"/>
        <v>2026-09</v>
      </c>
      <c r="O269" t="str" cm="1">
        <f t="array" ref="O269">IFERROR(_xlfn.XLOOKUP(C269,AgentMaster[[#All],[Agent ID]],AgentMaster[[#All],[Agent Name]]),"")</f>
        <v>Agent 124</v>
      </c>
      <c r="P269">
        <f t="shared" si="20"/>
        <v>11</v>
      </c>
    </row>
    <row r="270" spans="1:16" x14ac:dyDescent="0.3">
      <c r="A270" t="s">
        <v>392</v>
      </c>
      <c r="B270" s="5">
        <v>46240</v>
      </c>
      <c r="C270" t="s">
        <v>199</v>
      </c>
      <c r="D270" t="s">
        <v>87</v>
      </c>
      <c r="E270">
        <v>5000</v>
      </c>
      <c r="F270" t="s">
        <v>72</v>
      </c>
      <c r="G270" t="s">
        <v>73</v>
      </c>
      <c r="H270" t="s">
        <v>78</v>
      </c>
      <c r="I270" t="str">
        <f t="shared" si="17"/>
        <v>2026-08</v>
      </c>
      <c r="J270" t="str">
        <f ca="1">IFERROR(_xludf.XLOOKUP(C270,'Agent Master'!$A:$A,'Agent Master'!$B:$B,"Missing"),"Missing")</f>
        <v>Missing</v>
      </c>
      <c r="K270" t="str">
        <f ca="1">IFERROR(_xludf.XLOOKUP(C270,'Agent Master'!$A:$A,'Agent Master'!$C:$C,"Missing"),"Missing")</f>
        <v>Missing</v>
      </c>
      <c r="L270" t="str">
        <f t="shared" si="18"/>
        <v>August</v>
      </c>
      <c r="M270" t="str">
        <f>_xlfn.XLOOKUP('Transaction Data'!D270,ProductMap[Product Code],ProductMap[Product Name])</f>
        <v>APAY</v>
      </c>
      <c r="N270" t="str">
        <f t="shared" si="19"/>
        <v>2026-08</v>
      </c>
      <c r="O270" t="str" cm="1">
        <f t="array" ref="O270">IFERROR(_xlfn.XLOOKUP(C270,AgentMaster[[#All],[Agent ID]],AgentMaster[[#All],[Agent Name]]),"")</f>
        <v>Agent 111</v>
      </c>
      <c r="P270">
        <f t="shared" si="20"/>
        <v>8</v>
      </c>
    </row>
    <row r="271" spans="1:16" x14ac:dyDescent="0.3">
      <c r="A271" t="s">
        <v>393</v>
      </c>
      <c r="B271" s="5">
        <v>46240</v>
      </c>
      <c r="C271" t="s">
        <v>100</v>
      </c>
      <c r="D271" t="s">
        <v>110</v>
      </c>
      <c r="E271">
        <v>2000</v>
      </c>
      <c r="F271" t="s">
        <v>72</v>
      </c>
      <c r="G271" t="s">
        <v>84</v>
      </c>
      <c r="H271" t="s">
        <v>81</v>
      </c>
      <c r="I271" t="str">
        <f t="shared" si="17"/>
        <v>2026-08</v>
      </c>
      <c r="J271" t="str">
        <f ca="1">IFERROR(_xludf.XLOOKUP(C271,'Agent Master'!$A:$A,'Agent Master'!$B:$B,"Missing"),"Missing")</f>
        <v>Missing</v>
      </c>
      <c r="K271" t="str">
        <f ca="1">IFERROR(_xludf.XLOOKUP(C271,'Agent Master'!$A:$A,'Agent Master'!$C:$C,"Missing"),"Missing")</f>
        <v>Missing</v>
      </c>
      <c r="L271" t="str">
        <f t="shared" si="18"/>
        <v>August</v>
      </c>
      <c r="M271" t="str">
        <f>_xlfn.XLOOKUP('Transaction Data'!D271,ProductMap[Product Code],ProductMap[Product Name])</f>
        <v>DMT</v>
      </c>
      <c r="N271" t="str">
        <f t="shared" si="19"/>
        <v>2026-08</v>
      </c>
      <c r="O271" t="str" cm="1">
        <f t="array" ref="O271">IFERROR(_xlfn.XLOOKUP(C271,AgentMaster[[#All],[Agent ID]],AgentMaster[[#All],[Agent Name]]),"")</f>
        <v>Agent 115</v>
      </c>
      <c r="P271">
        <f t="shared" si="20"/>
        <v>11</v>
      </c>
    </row>
    <row r="272" spans="1:16" x14ac:dyDescent="0.3">
      <c r="A272" t="s">
        <v>394</v>
      </c>
      <c r="B272" s="5">
        <v>46260</v>
      </c>
      <c r="C272" t="s">
        <v>154</v>
      </c>
      <c r="D272" t="s">
        <v>87</v>
      </c>
      <c r="E272">
        <v>1000</v>
      </c>
      <c r="F272" t="s">
        <v>72</v>
      </c>
      <c r="G272" t="s">
        <v>73</v>
      </c>
      <c r="H272" t="s">
        <v>96</v>
      </c>
      <c r="I272" t="str">
        <f t="shared" si="17"/>
        <v>2026-08</v>
      </c>
      <c r="J272" t="str">
        <f ca="1">IFERROR(_xludf.XLOOKUP(C272,'Agent Master'!$A:$A,'Agent Master'!$B:$B,"Missing"),"Missing")</f>
        <v>Missing</v>
      </c>
      <c r="K272" t="str">
        <f ca="1">IFERROR(_xludf.XLOOKUP(C272,'Agent Master'!$A:$A,'Agent Master'!$C:$C,"Missing"),"Missing")</f>
        <v>Missing</v>
      </c>
      <c r="L272" t="str">
        <f t="shared" si="18"/>
        <v>August</v>
      </c>
      <c r="M272" t="str">
        <f>_xlfn.XLOOKUP('Transaction Data'!D272,ProductMap[Product Code],ProductMap[Product Name])</f>
        <v>APAY</v>
      </c>
      <c r="N272" t="str">
        <f t="shared" si="19"/>
        <v>2026-08</v>
      </c>
      <c r="O272" t="str" cm="1">
        <f t="array" ref="O272">IFERROR(_xlfn.XLOOKUP(C272,AgentMaster[[#All],[Agent ID]],AgentMaster[[#All],[Agent Name]]),"")</f>
        <v>Agent 133</v>
      </c>
      <c r="P272">
        <f t="shared" si="20"/>
        <v>9</v>
      </c>
    </row>
    <row r="273" spans="1:16" x14ac:dyDescent="0.3">
      <c r="A273" t="s">
        <v>395</v>
      </c>
      <c r="B273" s="5">
        <v>46249</v>
      </c>
      <c r="C273" t="s">
        <v>80</v>
      </c>
      <c r="D273" t="s">
        <v>87</v>
      </c>
      <c r="E273">
        <v>500</v>
      </c>
      <c r="F273" t="s">
        <v>72</v>
      </c>
      <c r="G273" t="s">
        <v>73</v>
      </c>
      <c r="H273" t="s">
        <v>74</v>
      </c>
      <c r="I273" t="str">
        <f t="shared" si="17"/>
        <v>2026-08</v>
      </c>
      <c r="J273" t="str">
        <f ca="1">IFERROR(_xludf.XLOOKUP(C273,'Agent Master'!$A:$A,'Agent Master'!$B:$B,"Missing"),"Missing")</f>
        <v>Missing</v>
      </c>
      <c r="K273" t="str">
        <f ca="1">IFERROR(_xludf.XLOOKUP(C273,'Agent Master'!$A:$A,'Agent Master'!$C:$C,"Missing"),"Missing")</f>
        <v>Missing</v>
      </c>
      <c r="L273" t="str">
        <f t="shared" si="18"/>
        <v>August</v>
      </c>
      <c r="M273" t="str">
        <f>_xlfn.XLOOKUP('Transaction Data'!D273,ProductMap[Product Code],ProductMap[Product Name])</f>
        <v>APAY</v>
      </c>
      <c r="N273" t="str">
        <f t="shared" si="19"/>
        <v>2026-08</v>
      </c>
      <c r="O273" t="str" cm="1">
        <f t="array" ref="O273">IFERROR(_xlfn.XLOOKUP(C273,AgentMaster[[#All],[Agent ID]],AgentMaster[[#All],[Agent Name]]),"")</f>
        <v>Agent 102</v>
      </c>
      <c r="P273">
        <f t="shared" si="20"/>
        <v>13</v>
      </c>
    </row>
    <row r="274" spans="1:16" x14ac:dyDescent="0.3">
      <c r="A274" t="s">
        <v>396</v>
      </c>
      <c r="B274" s="5">
        <v>46237</v>
      </c>
      <c r="C274" t="s">
        <v>242</v>
      </c>
      <c r="D274" t="s">
        <v>110</v>
      </c>
      <c r="E274">
        <v>15000</v>
      </c>
      <c r="F274" t="s">
        <v>72</v>
      </c>
      <c r="G274" t="s">
        <v>73</v>
      </c>
      <c r="H274" t="s">
        <v>78</v>
      </c>
      <c r="I274" t="str">
        <f t="shared" si="17"/>
        <v>2026-08</v>
      </c>
      <c r="J274" t="str">
        <f ca="1">IFERROR(_xludf.XLOOKUP(C274,'Agent Master'!$A:$A,'Agent Master'!$B:$B,"Missing"),"Missing")</f>
        <v>Missing</v>
      </c>
      <c r="K274" t="str">
        <f ca="1">IFERROR(_xludf.XLOOKUP(C274,'Agent Master'!$A:$A,'Agent Master'!$C:$C,"Missing"),"Missing")</f>
        <v>Missing</v>
      </c>
      <c r="L274" t="str">
        <f t="shared" si="18"/>
        <v>August</v>
      </c>
      <c r="M274" t="str">
        <f>_xlfn.XLOOKUP('Transaction Data'!D274,ProductMap[Product Code],ProductMap[Product Name])</f>
        <v>DMT</v>
      </c>
      <c r="N274" t="str">
        <f t="shared" si="19"/>
        <v>2026-08</v>
      </c>
      <c r="O274" t="str" cm="1">
        <f t="array" ref="O274">IFERROR(_xlfn.XLOOKUP(C274,AgentMaster[[#All],[Agent ID]],AgentMaster[[#All],[Agent Name]]),"")</f>
        <v>Agent 119</v>
      </c>
      <c r="P274">
        <f t="shared" si="20"/>
        <v>13</v>
      </c>
    </row>
    <row r="275" spans="1:16" x14ac:dyDescent="0.3">
      <c r="A275" t="s">
        <v>397</v>
      </c>
      <c r="B275" s="5">
        <v>46263</v>
      </c>
      <c r="C275" t="s">
        <v>236</v>
      </c>
      <c r="D275" t="s">
        <v>71</v>
      </c>
      <c r="E275">
        <v>500</v>
      </c>
      <c r="F275" t="s">
        <v>72</v>
      </c>
      <c r="G275" t="s">
        <v>84</v>
      </c>
      <c r="H275" t="s">
        <v>74</v>
      </c>
      <c r="I275" t="str">
        <f t="shared" si="17"/>
        <v>2026-08</v>
      </c>
      <c r="J275" t="str">
        <f ca="1">IFERROR(_xludf.XLOOKUP(C275,'Agent Master'!$A:$A,'Agent Master'!$B:$B,"Missing"),"Missing")</f>
        <v>Missing</v>
      </c>
      <c r="K275" t="str">
        <f ca="1">IFERROR(_xludf.XLOOKUP(C275,'Agent Master'!$A:$A,'Agent Master'!$C:$C,"Missing"),"Missing")</f>
        <v>Missing</v>
      </c>
      <c r="L275" t="str">
        <f t="shared" si="18"/>
        <v>August</v>
      </c>
      <c r="M275" t="str">
        <f>_xlfn.XLOOKUP('Transaction Data'!D275,ProductMap[Product Code],ProductMap[Product Name])</f>
        <v>AEPS</v>
      </c>
      <c r="N275" t="str">
        <f t="shared" si="19"/>
        <v>2026-08</v>
      </c>
      <c r="O275" t="str" cm="1">
        <f t="array" ref="O275">IFERROR(_xlfn.XLOOKUP(C275,AgentMaster[[#All],[Agent ID]],AgentMaster[[#All],[Agent Name]]),"")</f>
        <v>Agent 140</v>
      </c>
      <c r="P275">
        <f t="shared" si="20"/>
        <v>5</v>
      </c>
    </row>
    <row r="276" spans="1:16" x14ac:dyDescent="0.3">
      <c r="A276" t="s">
        <v>398</v>
      </c>
      <c r="B276" s="5">
        <v>46288</v>
      </c>
      <c r="C276" t="s">
        <v>204</v>
      </c>
      <c r="D276" t="s">
        <v>95</v>
      </c>
      <c r="E276">
        <v>15000</v>
      </c>
      <c r="F276" t="s">
        <v>92</v>
      </c>
      <c r="G276" t="s">
        <v>73</v>
      </c>
      <c r="H276" t="s">
        <v>78</v>
      </c>
      <c r="I276" t="str">
        <f t="shared" si="17"/>
        <v>2026-09</v>
      </c>
      <c r="J276" t="str">
        <f ca="1">IFERROR(_xludf.XLOOKUP(C276,'Agent Master'!$A:$A,'Agent Master'!$B:$B,"Missing"),"Missing")</f>
        <v>Missing</v>
      </c>
      <c r="K276" t="str">
        <f ca="1">IFERROR(_xludf.XLOOKUP(C276,'Agent Master'!$A:$A,'Agent Master'!$C:$C,"Missing"),"Missing")</f>
        <v>Missing</v>
      </c>
      <c r="L276" t="str">
        <f t="shared" si="18"/>
        <v>September</v>
      </c>
      <c r="M276" t="str">
        <f>_xlfn.XLOOKUP('Transaction Data'!D276,ProductMap[Product Code],ProductMap[Product Name])</f>
        <v>BBPS</v>
      </c>
      <c r="N276" t="str">
        <f t="shared" si="19"/>
        <v>2026-09</v>
      </c>
      <c r="O276" t="str" cm="1">
        <f t="array" ref="O276">IFERROR(_xlfn.XLOOKUP(C276,AgentMaster[[#All],[Agent ID]],AgentMaster[[#All],[Agent Name]]),"")</f>
        <v>Agent 110</v>
      </c>
      <c r="P276">
        <f t="shared" si="20"/>
        <v>17</v>
      </c>
    </row>
    <row r="277" spans="1:16" x14ac:dyDescent="0.3">
      <c r="A277" t="s">
        <v>399</v>
      </c>
      <c r="B277" s="5">
        <v>46242</v>
      </c>
      <c r="C277" t="s">
        <v>242</v>
      </c>
      <c r="D277" t="s">
        <v>90</v>
      </c>
      <c r="E277">
        <v>1500</v>
      </c>
      <c r="F277" t="s">
        <v>72</v>
      </c>
      <c r="G277" t="s">
        <v>73</v>
      </c>
      <c r="H277" t="s">
        <v>74</v>
      </c>
      <c r="I277" t="str">
        <f t="shared" si="17"/>
        <v>2026-08</v>
      </c>
      <c r="J277" t="str">
        <f ca="1">IFERROR(_xludf.XLOOKUP(C277,'Agent Master'!$A:$A,'Agent Master'!$B:$B,"Missing"),"Missing")</f>
        <v>Missing</v>
      </c>
      <c r="K277" t="str">
        <f ca="1">IFERROR(_xludf.XLOOKUP(C277,'Agent Master'!$A:$A,'Agent Master'!$C:$C,"Missing"),"Missing")</f>
        <v>Missing</v>
      </c>
      <c r="L277" t="str">
        <f t="shared" si="18"/>
        <v>August</v>
      </c>
      <c r="M277" t="str">
        <f>_xlfn.XLOOKUP('Transaction Data'!D277,ProductMap[Product Code],ProductMap[Product Name])</f>
        <v>UPI</v>
      </c>
      <c r="N277" t="str">
        <f t="shared" si="19"/>
        <v>2026-08</v>
      </c>
      <c r="O277" t="str" cm="1">
        <f t="array" ref="O277">IFERROR(_xlfn.XLOOKUP(C277,AgentMaster[[#All],[Agent ID]],AgentMaster[[#All],[Agent Name]]),"")</f>
        <v>Agent 119</v>
      </c>
      <c r="P277">
        <f t="shared" si="20"/>
        <v>13</v>
      </c>
    </row>
    <row r="278" spans="1:16" x14ac:dyDescent="0.3">
      <c r="A278" t="s">
        <v>400</v>
      </c>
      <c r="B278" s="5">
        <v>46261</v>
      </c>
      <c r="C278" t="s">
        <v>98</v>
      </c>
      <c r="D278" t="s">
        <v>95</v>
      </c>
      <c r="E278">
        <v>5000</v>
      </c>
      <c r="F278" t="s">
        <v>72</v>
      </c>
      <c r="G278" t="s">
        <v>73</v>
      </c>
      <c r="H278" t="s">
        <v>78</v>
      </c>
      <c r="I278" t="str">
        <f t="shared" si="17"/>
        <v>2026-08</v>
      </c>
      <c r="J278" t="str">
        <f ca="1">IFERROR(_xludf.XLOOKUP(C278,'Agent Master'!$A:$A,'Agent Master'!$B:$B,"Missing"),"Missing")</f>
        <v>Missing</v>
      </c>
      <c r="K278" t="str">
        <f ca="1">IFERROR(_xludf.XLOOKUP(C278,'Agent Master'!$A:$A,'Agent Master'!$C:$C,"Missing"),"Missing")</f>
        <v>Missing</v>
      </c>
      <c r="L278" t="str">
        <f t="shared" si="18"/>
        <v>August</v>
      </c>
      <c r="M278" t="str">
        <f>_xlfn.XLOOKUP('Transaction Data'!D278,ProductMap[Product Code],ProductMap[Product Name])</f>
        <v>BBPS</v>
      </c>
      <c r="N278" t="str">
        <f t="shared" si="19"/>
        <v>2026-08</v>
      </c>
      <c r="O278" t="str" cm="1">
        <f t="array" ref="O278">IFERROR(_xlfn.XLOOKUP(C278,AgentMaster[[#All],[Agent ID]],AgentMaster[[#All],[Agent Name]]),"")</f>
        <v/>
      </c>
      <c r="P278">
        <f t="shared" si="20"/>
        <v>25</v>
      </c>
    </row>
    <row r="279" spans="1:16" x14ac:dyDescent="0.3">
      <c r="A279" t="s">
        <v>401</v>
      </c>
      <c r="B279" s="5">
        <v>46273</v>
      </c>
      <c r="C279" t="s">
        <v>129</v>
      </c>
      <c r="D279" t="s">
        <v>71</v>
      </c>
      <c r="E279">
        <v>12500</v>
      </c>
      <c r="F279" t="s">
        <v>72</v>
      </c>
      <c r="G279" t="s">
        <v>73</v>
      </c>
      <c r="H279" t="s">
        <v>74</v>
      </c>
      <c r="I279" t="str">
        <f t="shared" si="17"/>
        <v>2026-09</v>
      </c>
      <c r="J279" t="str">
        <f ca="1">IFERROR(_xludf.XLOOKUP(C279,'Agent Master'!$A:$A,'Agent Master'!$B:$B,"Missing"),"Missing")</f>
        <v>Missing</v>
      </c>
      <c r="K279" t="str">
        <f ca="1">IFERROR(_xludf.XLOOKUP(C279,'Agent Master'!$A:$A,'Agent Master'!$C:$C,"Missing"),"Missing")</f>
        <v>Missing</v>
      </c>
      <c r="L279" t="str">
        <f t="shared" si="18"/>
        <v>September</v>
      </c>
      <c r="M279" t="str">
        <f>_xlfn.XLOOKUP('Transaction Data'!D279,ProductMap[Product Code],ProductMap[Product Name])</f>
        <v>AEPS</v>
      </c>
      <c r="N279" t="str">
        <f t="shared" si="19"/>
        <v>2026-09</v>
      </c>
      <c r="O279" t="str" cm="1">
        <f t="array" ref="O279">IFERROR(_xlfn.XLOOKUP(C279,AgentMaster[[#All],[Agent ID]],AgentMaster[[#All],[Agent Name]]),"")</f>
        <v>Agent 135</v>
      </c>
      <c r="P279">
        <f t="shared" si="20"/>
        <v>19</v>
      </c>
    </row>
    <row r="280" spans="1:16" x14ac:dyDescent="0.3">
      <c r="A280" t="s">
        <v>402</v>
      </c>
      <c r="B280" s="5">
        <v>46280</v>
      </c>
      <c r="C280" t="s">
        <v>204</v>
      </c>
      <c r="D280" t="s">
        <v>87</v>
      </c>
      <c r="E280">
        <v>2500</v>
      </c>
      <c r="F280" t="s">
        <v>72</v>
      </c>
      <c r="G280" t="s">
        <v>73</v>
      </c>
      <c r="H280" t="s">
        <v>96</v>
      </c>
      <c r="I280" t="str">
        <f t="shared" si="17"/>
        <v>2026-09</v>
      </c>
      <c r="J280" t="str">
        <f ca="1">IFERROR(_xludf.XLOOKUP(C280,'Agent Master'!$A:$A,'Agent Master'!$B:$B,"Missing"),"Missing")</f>
        <v>Missing</v>
      </c>
      <c r="K280" t="str">
        <f ca="1">IFERROR(_xludf.XLOOKUP(C280,'Agent Master'!$A:$A,'Agent Master'!$C:$C,"Missing"),"Missing")</f>
        <v>Missing</v>
      </c>
      <c r="L280" t="str">
        <f t="shared" si="18"/>
        <v>September</v>
      </c>
      <c r="M280" t="str">
        <f>_xlfn.XLOOKUP('Transaction Data'!D280,ProductMap[Product Code],ProductMap[Product Name])</f>
        <v>APAY</v>
      </c>
      <c r="N280" t="str">
        <f t="shared" si="19"/>
        <v>2026-09</v>
      </c>
      <c r="O280" t="str" cm="1">
        <f t="array" ref="O280">IFERROR(_xlfn.XLOOKUP(C280,AgentMaster[[#All],[Agent ID]],AgentMaster[[#All],[Agent Name]]),"")</f>
        <v>Agent 110</v>
      </c>
      <c r="P280">
        <f t="shared" si="20"/>
        <v>17</v>
      </c>
    </row>
    <row r="281" spans="1:16" x14ac:dyDescent="0.3">
      <c r="A281" t="s">
        <v>403</v>
      </c>
      <c r="B281" s="5">
        <v>46250</v>
      </c>
      <c r="C281" t="s">
        <v>125</v>
      </c>
      <c r="D281" t="s">
        <v>110</v>
      </c>
      <c r="E281">
        <v>750</v>
      </c>
      <c r="F281" t="s">
        <v>72</v>
      </c>
      <c r="G281" t="s">
        <v>73</v>
      </c>
      <c r="H281" t="s">
        <v>96</v>
      </c>
      <c r="I281" t="str">
        <f t="shared" si="17"/>
        <v>2026-08</v>
      </c>
      <c r="J281" t="str">
        <f ca="1">IFERROR(_xludf.XLOOKUP(C281,'Agent Master'!$A:$A,'Agent Master'!$B:$B,"Missing"),"Missing")</f>
        <v>Missing</v>
      </c>
      <c r="K281" t="str">
        <f ca="1">IFERROR(_xludf.XLOOKUP(C281,'Agent Master'!$A:$A,'Agent Master'!$C:$C,"Missing"),"Missing")</f>
        <v>Missing</v>
      </c>
      <c r="L281" t="str">
        <f t="shared" si="18"/>
        <v>August</v>
      </c>
      <c r="M281" t="str">
        <f>_xlfn.XLOOKUP('Transaction Data'!D281,ProductMap[Product Code],ProductMap[Product Name])</f>
        <v>DMT</v>
      </c>
      <c r="N281" t="str">
        <f t="shared" si="19"/>
        <v>2026-08</v>
      </c>
      <c r="O281" t="str" cm="1">
        <f t="array" ref="O281">IFERROR(_xlfn.XLOOKUP(C281,AgentMaster[[#All],[Agent ID]],AgentMaster[[#All],[Agent Name]]),"")</f>
        <v>Agent 137</v>
      </c>
      <c r="P281">
        <f t="shared" si="20"/>
        <v>11</v>
      </c>
    </row>
    <row r="282" spans="1:16" x14ac:dyDescent="0.3">
      <c r="A282" t="s">
        <v>404</v>
      </c>
      <c r="B282" s="5">
        <v>46239</v>
      </c>
      <c r="C282" t="s">
        <v>189</v>
      </c>
      <c r="D282" t="s">
        <v>95</v>
      </c>
      <c r="E282">
        <v>7500</v>
      </c>
      <c r="F282" t="s">
        <v>72</v>
      </c>
      <c r="G282" t="s">
        <v>73</v>
      </c>
      <c r="H282" t="s">
        <v>81</v>
      </c>
      <c r="I282" t="str">
        <f t="shared" si="17"/>
        <v>2026-08</v>
      </c>
      <c r="J282" t="str">
        <f ca="1">IFERROR(_xludf.XLOOKUP(C282,'Agent Master'!$A:$A,'Agent Master'!$B:$B,"Missing"),"Missing")</f>
        <v>Missing</v>
      </c>
      <c r="K282" t="str">
        <f ca="1">IFERROR(_xludf.XLOOKUP(C282,'Agent Master'!$A:$A,'Agent Master'!$C:$C,"Missing"),"Missing")</f>
        <v>Missing</v>
      </c>
      <c r="L282" t="str">
        <f t="shared" si="18"/>
        <v>August</v>
      </c>
      <c r="M282" t="str">
        <f>_xlfn.XLOOKUP('Transaction Data'!D282,ProductMap[Product Code],ProductMap[Product Name])</f>
        <v>BBPS</v>
      </c>
      <c r="N282" t="str">
        <f t="shared" si="19"/>
        <v>2026-08</v>
      </c>
      <c r="O282" t="str" cm="1">
        <f t="array" ref="O282">IFERROR(_xlfn.XLOOKUP(C282,AgentMaster[[#All],[Agent ID]],AgentMaster[[#All],[Agent Name]]),"")</f>
        <v>Agent 134</v>
      </c>
      <c r="P282">
        <f t="shared" si="20"/>
        <v>6</v>
      </c>
    </row>
    <row r="283" spans="1:16" x14ac:dyDescent="0.3">
      <c r="A283" t="s">
        <v>405</v>
      </c>
      <c r="B283" s="5">
        <v>46259</v>
      </c>
      <c r="C283" t="s">
        <v>127</v>
      </c>
      <c r="D283" t="s">
        <v>71</v>
      </c>
      <c r="E283">
        <v>12500</v>
      </c>
      <c r="F283" t="s">
        <v>72</v>
      </c>
      <c r="G283" t="s">
        <v>84</v>
      </c>
      <c r="H283" t="s">
        <v>96</v>
      </c>
      <c r="I283" t="str">
        <f t="shared" si="17"/>
        <v>2026-08</v>
      </c>
      <c r="J283" t="str">
        <f ca="1">IFERROR(_xludf.XLOOKUP(C283,'Agent Master'!$A:$A,'Agent Master'!$B:$B,"Missing"),"Missing")</f>
        <v>Missing</v>
      </c>
      <c r="K283" t="str">
        <f ca="1">IFERROR(_xludf.XLOOKUP(C283,'Agent Master'!$A:$A,'Agent Master'!$C:$C,"Missing"),"Missing")</f>
        <v>Missing</v>
      </c>
      <c r="L283" t="str">
        <f t="shared" si="18"/>
        <v>August</v>
      </c>
      <c r="M283" t="str">
        <f>_xlfn.XLOOKUP('Transaction Data'!D283,ProductMap[Product Code],ProductMap[Product Name])</f>
        <v>AEPS</v>
      </c>
      <c r="N283" t="str">
        <f t="shared" si="19"/>
        <v>2026-08</v>
      </c>
      <c r="O283" t="str" cm="1">
        <f t="array" ref="O283">IFERROR(_xlfn.XLOOKUP(C283,AgentMaster[[#All],[Agent ID]],AgentMaster[[#All],[Agent Name]]),"")</f>
        <v>Agent 131</v>
      </c>
      <c r="P283">
        <f t="shared" si="20"/>
        <v>11</v>
      </c>
    </row>
    <row r="284" spans="1:16" x14ac:dyDescent="0.3">
      <c r="A284" t="s">
        <v>406</v>
      </c>
      <c r="B284" s="5">
        <v>46282</v>
      </c>
      <c r="C284" t="s">
        <v>80</v>
      </c>
      <c r="D284" t="s">
        <v>87</v>
      </c>
      <c r="E284">
        <v>20000</v>
      </c>
      <c r="F284" t="s">
        <v>72</v>
      </c>
      <c r="G284" t="s">
        <v>84</v>
      </c>
      <c r="H284" t="s">
        <v>74</v>
      </c>
      <c r="I284" t="str">
        <f t="shared" si="17"/>
        <v>2026-09</v>
      </c>
      <c r="J284" t="str">
        <f ca="1">IFERROR(_xludf.XLOOKUP(C284,'Agent Master'!$A:$A,'Agent Master'!$B:$B,"Missing"),"Missing")</f>
        <v>Missing</v>
      </c>
      <c r="K284" t="str">
        <f ca="1">IFERROR(_xludf.XLOOKUP(C284,'Agent Master'!$A:$A,'Agent Master'!$C:$C,"Missing"),"Missing")</f>
        <v>Missing</v>
      </c>
      <c r="L284" t="str">
        <f t="shared" si="18"/>
        <v>September</v>
      </c>
      <c r="M284" t="str">
        <f>_xlfn.XLOOKUP('Transaction Data'!D284,ProductMap[Product Code],ProductMap[Product Name])</f>
        <v>APAY</v>
      </c>
      <c r="N284" t="str">
        <f t="shared" si="19"/>
        <v>2026-09</v>
      </c>
      <c r="O284" t="str" cm="1">
        <f t="array" ref="O284">IFERROR(_xlfn.XLOOKUP(C284,AgentMaster[[#All],[Agent ID]],AgentMaster[[#All],[Agent Name]]),"")</f>
        <v>Agent 102</v>
      </c>
      <c r="P284">
        <f t="shared" si="20"/>
        <v>13</v>
      </c>
    </row>
    <row r="285" spans="1:16" x14ac:dyDescent="0.3">
      <c r="A285" t="s">
        <v>407</v>
      </c>
      <c r="B285" s="5">
        <v>46281</v>
      </c>
      <c r="C285" t="s">
        <v>98</v>
      </c>
      <c r="D285" t="s">
        <v>71</v>
      </c>
      <c r="E285">
        <v>20000</v>
      </c>
      <c r="F285" t="s">
        <v>92</v>
      </c>
      <c r="G285" t="s">
        <v>73</v>
      </c>
      <c r="H285" t="s">
        <v>96</v>
      </c>
      <c r="I285" t="str">
        <f t="shared" si="17"/>
        <v>2026-09</v>
      </c>
      <c r="J285" t="str">
        <f ca="1">IFERROR(_xludf.XLOOKUP(C285,'Agent Master'!$A:$A,'Agent Master'!$B:$B,"Missing"),"Missing")</f>
        <v>Missing</v>
      </c>
      <c r="K285" t="str">
        <f ca="1">IFERROR(_xludf.XLOOKUP(C285,'Agent Master'!$A:$A,'Agent Master'!$C:$C,"Missing"),"Missing")</f>
        <v>Missing</v>
      </c>
      <c r="L285" t="str">
        <f t="shared" si="18"/>
        <v>September</v>
      </c>
      <c r="M285" t="str">
        <f>_xlfn.XLOOKUP('Transaction Data'!D285,ProductMap[Product Code],ProductMap[Product Name])</f>
        <v>AEPS</v>
      </c>
      <c r="N285" t="str">
        <f t="shared" si="19"/>
        <v>2026-09</v>
      </c>
      <c r="O285" t="str" cm="1">
        <f t="array" ref="O285">IFERROR(_xlfn.XLOOKUP(C285,AgentMaster[[#All],[Agent ID]],AgentMaster[[#All],[Agent Name]]),"")</f>
        <v/>
      </c>
      <c r="P285">
        <f t="shared" si="20"/>
        <v>25</v>
      </c>
    </row>
    <row r="286" spans="1:16" x14ac:dyDescent="0.3">
      <c r="A286" t="s">
        <v>408</v>
      </c>
      <c r="B286" s="5">
        <v>46243</v>
      </c>
      <c r="C286" t="s">
        <v>134</v>
      </c>
      <c r="D286" t="s">
        <v>87</v>
      </c>
      <c r="E286">
        <v>7500</v>
      </c>
      <c r="F286" t="s">
        <v>72</v>
      </c>
      <c r="G286" t="s">
        <v>73</v>
      </c>
      <c r="H286" t="s">
        <v>74</v>
      </c>
      <c r="I286" t="str">
        <f t="shared" si="17"/>
        <v>2026-08</v>
      </c>
      <c r="J286" t="str">
        <f ca="1">IFERROR(_xludf.XLOOKUP(C286,'Agent Master'!$A:$A,'Agent Master'!$B:$B,"Missing"),"Missing")</f>
        <v>Missing</v>
      </c>
      <c r="K286" t="str">
        <f ca="1">IFERROR(_xludf.XLOOKUP(C286,'Agent Master'!$A:$A,'Agent Master'!$C:$C,"Missing"),"Missing")</f>
        <v>Missing</v>
      </c>
      <c r="L286" t="str">
        <f t="shared" si="18"/>
        <v>August</v>
      </c>
      <c r="M286" t="str">
        <f>_xlfn.XLOOKUP('Transaction Data'!D286,ProductMap[Product Code],ProductMap[Product Name])</f>
        <v>APAY</v>
      </c>
      <c r="N286" t="str">
        <f t="shared" si="19"/>
        <v>2026-08</v>
      </c>
      <c r="O286" t="str" cm="1">
        <f t="array" ref="O286">IFERROR(_xlfn.XLOOKUP(C286,AgentMaster[[#All],[Agent ID]],AgentMaster[[#All],[Agent Name]]),"")</f>
        <v>Agent 103</v>
      </c>
      <c r="P286">
        <f t="shared" si="20"/>
        <v>11</v>
      </c>
    </row>
    <row r="287" spans="1:16" x14ac:dyDescent="0.3">
      <c r="A287" t="s">
        <v>409</v>
      </c>
      <c r="B287" s="5">
        <v>46288</v>
      </c>
      <c r="C287" t="s">
        <v>94</v>
      </c>
      <c r="D287" t="s">
        <v>77</v>
      </c>
      <c r="E287">
        <v>5000</v>
      </c>
      <c r="F287" t="s">
        <v>72</v>
      </c>
      <c r="G287" t="s">
        <v>73</v>
      </c>
      <c r="H287" t="s">
        <v>81</v>
      </c>
      <c r="I287" t="str">
        <f t="shared" si="17"/>
        <v>2026-09</v>
      </c>
      <c r="J287" t="str">
        <f ca="1">IFERROR(_xludf.XLOOKUP(C287,'Agent Master'!$A:$A,'Agent Master'!$B:$B,"Missing"),"Missing")</f>
        <v>Missing</v>
      </c>
      <c r="K287" t="str">
        <f ca="1">IFERROR(_xludf.XLOOKUP(C287,'Agent Master'!$A:$A,'Agent Master'!$C:$C,"Missing"),"Missing")</f>
        <v>Missing</v>
      </c>
      <c r="L287" t="str">
        <f t="shared" si="18"/>
        <v>September</v>
      </c>
      <c r="M287" t="str">
        <f>_xlfn.XLOOKUP('Transaction Data'!D287,ProductMap[Product Code],ProductMap[Product Name])</f>
        <v>MATM</v>
      </c>
      <c r="N287" t="str">
        <f t="shared" si="19"/>
        <v>2026-09</v>
      </c>
      <c r="O287" t="str" cm="1">
        <f t="array" ref="O287">IFERROR(_xlfn.XLOOKUP(C287,AgentMaster[[#All],[Agent ID]],AgentMaster[[#All],[Agent Name]]),"")</f>
        <v>Agent 130</v>
      </c>
      <c r="P287">
        <f t="shared" si="20"/>
        <v>16</v>
      </c>
    </row>
    <row r="288" spans="1:16" x14ac:dyDescent="0.3">
      <c r="A288" t="s">
        <v>410</v>
      </c>
      <c r="B288" s="5">
        <v>46280</v>
      </c>
      <c r="C288" t="s">
        <v>94</v>
      </c>
      <c r="D288" t="s">
        <v>71</v>
      </c>
      <c r="E288">
        <v>1500</v>
      </c>
      <c r="F288" t="s">
        <v>72</v>
      </c>
      <c r="G288" t="s">
        <v>73</v>
      </c>
      <c r="H288" t="s">
        <v>74</v>
      </c>
      <c r="I288" t="str">
        <f t="shared" si="17"/>
        <v>2026-09</v>
      </c>
      <c r="J288" t="str">
        <f ca="1">IFERROR(_xludf.XLOOKUP(C288,'Agent Master'!$A:$A,'Agent Master'!$B:$B,"Missing"),"Missing")</f>
        <v>Missing</v>
      </c>
      <c r="K288" t="str">
        <f ca="1">IFERROR(_xludf.XLOOKUP(C288,'Agent Master'!$A:$A,'Agent Master'!$C:$C,"Missing"),"Missing")</f>
        <v>Missing</v>
      </c>
      <c r="L288" t="str">
        <f t="shared" si="18"/>
        <v>September</v>
      </c>
      <c r="M288" t="str">
        <f>_xlfn.XLOOKUP('Transaction Data'!D288,ProductMap[Product Code],ProductMap[Product Name])</f>
        <v>AEPS</v>
      </c>
      <c r="N288" t="str">
        <f t="shared" si="19"/>
        <v>2026-09</v>
      </c>
      <c r="O288" t="str" cm="1">
        <f t="array" ref="O288">IFERROR(_xlfn.XLOOKUP(C288,AgentMaster[[#All],[Agent ID]],AgentMaster[[#All],[Agent Name]]),"")</f>
        <v>Agent 130</v>
      </c>
      <c r="P288">
        <f t="shared" si="20"/>
        <v>16</v>
      </c>
    </row>
    <row r="289" spans="1:16" x14ac:dyDescent="0.3">
      <c r="A289" t="s">
        <v>411</v>
      </c>
      <c r="B289" s="5">
        <v>46291</v>
      </c>
      <c r="C289" t="s">
        <v>134</v>
      </c>
      <c r="D289" t="s">
        <v>87</v>
      </c>
      <c r="E289">
        <v>1500</v>
      </c>
      <c r="F289" t="s">
        <v>72</v>
      </c>
      <c r="G289" t="s">
        <v>84</v>
      </c>
      <c r="H289" t="s">
        <v>78</v>
      </c>
      <c r="I289" t="str">
        <f t="shared" si="17"/>
        <v>2026-09</v>
      </c>
      <c r="J289" t="str">
        <f ca="1">IFERROR(_xludf.XLOOKUP(C289,'Agent Master'!$A:$A,'Agent Master'!$B:$B,"Missing"),"Missing")</f>
        <v>Missing</v>
      </c>
      <c r="K289" t="str">
        <f ca="1">IFERROR(_xludf.XLOOKUP(C289,'Agent Master'!$A:$A,'Agent Master'!$C:$C,"Missing"),"Missing")</f>
        <v>Missing</v>
      </c>
      <c r="L289" t="str">
        <f t="shared" si="18"/>
        <v>September</v>
      </c>
      <c r="M289" t="str">
        <f>_xlfn.XLOOKUP('Transaction Data'!D289,ProductMap[Product Code],ProductMap[Product Name])</f>
        <v>APAY</v>
      </c>
      <c r="N289" t="str">
        <f t="shared" si="19"/>
        <v>2026-09</v>
      </c>
      <c r="O289" t="str" cm="1">
        <f t="array" ref="O289">IFERROR(_xlfn.XLOOKUP(C289,AgentMaster[[#All],[Agent ID]],AgentMaster[[#All],[Agent Name]]),"")</f>
        <v>Agent 103</v>
      </c>
      <c r="P289">
        <f t="shared" si="20"/>
        <v>11</v>
      </c>
    </row>
    <row r="290" spans="1:16" x14ac:dyDescent="0.3">
      <c r="A290" t="s">
        <v>412</v>
      </c>
      <c r="B290" s="5">
        <v>46251</v>
      </c>
      <c r="C290" t="s">
        <v>134</v>
      </c>
      <c r="D290" t="s">
        <v>77</v>
      </c>
      <c r="E290">
        <v>1000</v>
      </c>
      <c r="F290" t="s">
        <v>72</v>
      </c>
      <c r="G290" t="s">
        <v>84</v>
      </c>
      <c r="H290" t="s">
        <v>81</v>
      </c>
      <c r="I290" t="str">
        <f t="shared" si="17"/>
        <v>2026-08</v>
      </c>
      <c r="J290" t="str">
        <f ca="1">IFERROR(_xludf.XLOOKUP(C290,'Agent Master'!$A:$A,'Agent Master'!$B:$B,"Missing"),"Missing")</f>
        <v>Missing</v>
      </c>
      <c r="K290" t="str">
        <f ca="1">IFERROR(_xludf.XLOOKUP(C290,'Agent Master'!$A:$A,'Agent Master'!$C:$C,"Missing"),"Missing")</f>
        <v>Missing</v>
      </c>
      <c r="L290" t="str">
        <f t="shared" si="18"/>
        <v>August</v>
      </c>
      <c r="M290" t="str">
        <f>_xlfn.XLOOKUP('Transaction Data'!D290,ProductMap[Product Code],ProductMap[Product Name])</f>
        <v>MATM</v>
      </c>
      <c r="N290" t="str">
        <f t="shared" si="19"/>
        <v>2026-08</v>
      </c>
      <c r="O290" t="str" cm="1">
        <f t="array" ref="O290">IFERROR(_xlfn.XLOOKUP(C290,AgentMaster[[#All],[Agent ID]],AgentMaster[[#All],[Agent Name]]),"")</f>
        <v>Agent 103</v>
      </c>
      <c r="P290">
        <f t="shared" si="20"/>
        <v>11</v>
      </c>
    </row>
    <row r="291" spans="1:16" x14ac:dyDescent="0.3">
      <c r="A291" t="s">
        <v>413</v>
      </c>
      <c r="B291" s="5">
        <v>46290</v>
      </c>
      <c r="D291" t="s">
        <v>87</v>
      </c>
      <c r="E291">
        <v>1500</v>
      </c>
      <c r="F291" t="s">
        <v>72</v>
      </c>
      <c r="G291" t="s">
        <v>84</v>
      </c>
      <c r="H291" t="s">
        <v>78</v>
      </c>
      <c r="I291" t="str">
        <f t="shared" si="17"/>
        <v>2026-09</v>
      </c>
      <c r="J291" t="str">
        <f ca="1">IFERROR(_xludf.XLOOKUP(C291,'Agent Master'!$A:$A,'Agent Master'!$B:$B,"Missing"),"Missing")</f>
        <v>Missing</v>
      </c>
      <c r="K291" t="str">
        <f ca="1">IFERROR(_xludf.XLOOKUP(C291,'Agent Master'!$A:$A,'Agent Master'!$C:$C,"Missing"),"Missing")</f>
        <v>Missing</v>
      </c>
      <c r="L291" t="str">
        <f t="shared" si="18"/>
        <v>September</v>
      </c>
      <c r="M291" t="str">
        <f>_xlfn.XLOOKUP('Transaction Data'!D291,ProductMap[Product Code],ProductMap[Product Name])</f>
        <v>APAY</v>
      </c>
      <c r="N291" t="str">
        <f t="shared" si="19"/>
        <v>2026-09</v>
      </c>
      <c r="O291" t="str" cm="1">
        <f t="array" ref="O291">IFERROR(_xlfn.XLOOKUP(C291,AgentMaster[[#All],[Agent ID]],AgentMaster[[#All],[Agent Name]]),"")</f>
        <v/>
      </c>
      <c r="P291">
        <f t="shared" si="20"/>
        <v>25</v>
      </c>
    </row>
    <row r="292" spans="1:16" x14ac:dyDescent="0.3">
      <c r="A292" t="s">
        <v>414</v>
      </c>
      <c r="B292" s="5">
        <v>46291</v>
      </c>
      <c r="C292" t="s">
        <v>141</v>
      </c>
      <c r="D292" t="s">
        <v>77</v>
      </c>
      <c r="E292">
        <v>5000</v>
      </c>
      <c r="F292" t="s">
        <v>72</v>
      </c>
      <c r="G292" t="s">
        <v>84</v>
      </c>
      <c r="H292" t="s">
        <v>74</v>
      </c>
      <c r="I292" t="str">
        <f t="shared" si="17"/>
        <v>2026-09</v>
      </c>
      <c r="J292" t="str">
        <f ca="1">IFERROR(_xludf.XLOOKUP(C292,'Agent Master'!$A:$A,'Agent Master'!$B:$B,"Missing"),"Missing")</f>
        <v>Missing</v>
      </c>
      <c r="K292" t="str">
        <f ca="1">IFERROR(_xludf.XLOOKUP(C292,'Agent Master'!$A:$A,'Agent Master'!$C:$C,"Missing"),"Missing")</f>
        <v>Missing</v>
      </c>
      <c r="L292" t="str">
        <f t="shared" si="18"/>
        <v>September</v>
      </c>
      <c r="M292" t="str">
        <f>_xlfn.XLOOKUP('Transaction Data'!D292,ProductMap[Product Code],ProductMap[Product Name])</f>
        <v>MATM</v>
      </c>
      <c r="N292" t="str">
        <f t="shared" si="19"/>
        <v>2026-09</v>
      </c>
      <c r="O292" t="str" cm="1">
        <f t="array" ref="O292">IFERROR(_xlfn.XLOOKUP(C292,AgentMaster[[#All],[Agent ID]],AgentMaster[[#All],[Agent Name]]),"")</f>
        <v>Agent 126</v>
      </c>
      <c r="P292">
        <f t="shared" si="20"/>
        <v>11</v>
      </c>
    </row>
    <row r="293" spans="1:16" x14ac:dyDescent="0.3">
      <c r="A293" t="s">
        <v>415</v>
      </c>
      <c r="B293" s="5">
        <v>46266</v>
      </c>
      <c r="C293" t="s">
        <v>136</v>
      </c>
      <c r="D293" t="s">
        <v>87</v>
      </c>
      <c r="E293">
        <v>20000</v>
      </c>
      <c r="F293" t="s">
        <v>72</v>
      </c>
      <c r="G293" t="s">
        <v>84</v>
      </c>
      <c r="H293" t="s">
        <v>81</v>
      </c>
      <c r="I293" t="str">
        <f t="shared" si="17"/>
        <v>2026-09</v>
      </c>
      <c r="J293" t="str">
        <f ca="1">IFERROR(_xludf.XLOOKUP(C293,'Agent Master'!$A:$A,'Agent Master'!$B:$B,"Missing"),"Missing")</f>
        <v>Missing</v>
      </c>
      <c r="K293" t="str">
        <f ca="1">IFERROR(_xludf.XLOOKUP(C293,'Agent Master'!$A:$A,'Agent Master'!$C:$C,"Missing"),"Missing")</f>
        <v>Missing</v>
      </c>
      <c r="L293" t="str">
        <f t="shared" si="18"/>
        <v>September</v>
      </c>
      <c r="M293" t="str">
        <f>_xlfn.XLOOKUP('Transaction Data'!D293,ProductMap[Product Code],ProductMap[Product Name])</f>
        <v>APAY</v>
      </c>
      <c r="N293" t="str">
        <f t="shared" si="19"/>
        <v>2026-09</v>
      </c>
      <c r="O293" t="str" cm="1">
        <f t="array" ref="O293">IFERROR(_xlfn.XLOOKUP(C293,AgentMaster[[#All],[Agent ID]],AgentMaster[[#All],[Agent Name]]),"")</f>
        <v>Agent 132</v>
      </c>
      <c r="P293">
        <f t="shared" si="20"/>
        <v>8</v>
      </c>
    </row>
    <row r="294" spans="1:16" x14ac:dyDescent="0.3">
      <c r="A294" t="s">
        <v>416</v>
      </c>
      <c r="B294" s="5">
        <v>46281</v>
      </c>
      <c r="C294" t="s">
        <v>139</v>
      </c>
      <c r="D294" t="s">
        <v>71</v>
      </c>
      <c r="E294">
        <v>2500</v>
      </c>
      <c r="F294" t="s">
        <v>92</v>
      </c>
      <c r="G294" t="s">
        <v>73</v>
      </c>
      <c r="H294" t="s">
        <v>96</v>
      </c>
      <c r="I294" t="str">
        <f t="shared" si="17"/>
        <v>2026-09</v>
      </c>
      <c r="J294" t="str">
        <f ca="1">IFERROR(_xludf.XLOOKUP(C294,'Agent Master'!$A:$A,'Agent Master'!$B:$B,"Missing"),"Missing")</f>
        <v>Missing</v>
      </c>
      <c r="K294" t="str">
        <f ca="1">IFERROR(_xludf.XLOOKUP(C294,'Agent Master'!$A:$A,'Agent Master'!$C:$C,"Missing"),"Missing")</f>
        <v>Missing</v>
      </c>
      <c r="L294" t="str">
        <f t="shared" si="18"/>
        <v>September</v>
      </c>
      <c r="M294" t="str">
        <f>_xlfn.XLOOKUP('Transaction Data'!D294,ProductMap[Product Code],ProductMap[Product Name])</f>
        <v>AEPS</v>
      </c>
      <c r="N294" t="str">
        <f t="shared" si="19"/>
        <v>2026-09</v>
      </c>
      <c r="O294" t="str" cm="1">
        <f t="array" ref="O294">IFERROR(_xlfn.XLOOKUP(C294,AgentMaster[[#All],[Agent ID]],AgentMaster[[#All],[Agent Name]]),"")</f>
        <v>Agent 128</v>
      </c>
      <c r="P294">
        <f t="shared" si="20"/>
        <v>16</v>
      </c>
    </row>
    <row r="295" spans="1:16" x14ac:dyDescent="0.3">
      <c r="A295" t="s">
        <v>417</v>
      </c>
      <c r="B295" s="5">
        <v>46255</v>
      </c>
      <c r="C295" t="s">
        <v>76</v>
      </c>
      <c r="D295" t="s">
        <v>71</v>
      </c>
      <c r="E295">
        <v>2000</v>
      </c>
      <c r="F295" t="s">
        <v>72</v>
      </c>
      <c r="G295" t="s">
        <v>84</v>
      </c>
      <c r="H295" t="s">
        <v>78</v>
      </c>
      <c r="I295" t="str">
        <f t="shared" si="17"/>
        <v>2026-08</v>
      </c>
      <c r="J295" t="str">
        <f ca="1">IFERROR(_xludf.XLOOKUP(C295,'Agent Master'!$A:$A,'Agent Master'!$B:$B,"Missing"),"Missing")</f>
        <v>Missing</v>
      </c>
      <c r="K295" t="str">
        <f ca="1">IFERROR(_xludf.XLOOKUP(C295,'Agent Master'!$A:$A,'Agent Master'!$C:$C,"Missing"),"Missing")</f>
        <v>Missing</v>
      </c>
      <c r="L295" t="str">
        <f t="shared" si="18"/>
        <v>August</v>
      </c>
      <c r="M295" t="str">
        <f>_xlfn.XLOOKUP('Transaction Data'!D295,ProductMap[Product Code],ProductMap[Product Name])</f>
        <v>AEPS</v>
      </c>
      <c r="N295" t="str">
        <f t="shared" si="19"/>
        <v>2026-08</v>
      </c>
      <c r="O295" t="str" cm="1">
        <f t="array" ref="O295">IFERROR(_xlfn.XLOOKUP(C295,AgentMaster[[#All],[Agent ID]],AgentMaster[[#All],[Agent Name]]),"")</f>
        <v>Agent 107</v>
      </c>
      <c r="P295">
        <f t="shared" si="20"/>
        <v>16</v>
      </c>
    </row>
    <row r="296" spans="1:16" x14ac:dyDescent="0.3">
      <c r="A296" t="s">
        <v>418</v>
      </c>
      <c r="B296" s="5">
        <v>46273</v>
      </c>
      <c r="C296" t="s">
        <v>139</v>
      </c>
      <c r="D296" t="s">
        <v>90</v>
      </c>
      <c r="E296">
        <v>15000</v>
      </c>
      <c r="F296" t="s">
        <v>72</v>
      </c>
      <c r="G296" t="s">
        <v>84</v>
      </c>
      <c r="H296" t="s">
        <v>78</v>
      </c>
      <c r="I296" t="str">
        <f t="shared" si="17"/>
        <v>2026-09</v>
      </c>
      <c r="J296" t="str">
        <f ca="1">IFERROR(_xludf.XLOOKUP(C296,'Agent Master'!$A:$A,'Agent Master'!$B:$B,"Missing"),"Missing")</f>
        <v>Missing</v>
      </c>
      <c r="K296" t="str">
        <f ca="1">IFERROR(_xludf.XLOOKUP(C296,'Agent Master'!$A:$A,'Agent Master'!$C:$C,"Missing"),"Missing")</f>
        <v>Missing</v>
      </c>
      <c r="L296" t="str">
        <f t="shared" si="18"/>
        <v>September</v>
      </c>
      <c r="M296" t="str">
        <f>_xlfn.XLOOKUP('Transaction Data'!D296,ProductMap[Product Code],ProductMap[Product Name])</f>
        <v>UPI</v>
      </c>
      <c r="N296" t="str">
        <f t="shared" si="19"/>
        <v>2026-09</v>
      </c>
      <c r="O296" t="str" cm="1">
        <f t="array" ref="O296">IFERROR(_xlfn.XLOOKUP(C296,AgentMaster[[#All],[Agent ID]],AgentMaster[[#All],[Agent Name]]),"")</f>
        <v>Agent 128</v>
      </c>
      <c r="P296">
        <f t="shared" si="20"/>
        <v>16</v>
      </c>
    </row>
    <row r="297" spans="1:16" x14ac:dyDescent="0.3">
      <c r="A297" t="s">
        <v>419</v>
      </c>
      <c r="B297" s="5">
        <v>46237</v>
      </c>
      <c r="C297" t="s">
        <v>216</v>
      </c>
      <c r="D297" t="s">
        <v>95</v>
      </c>
      <c r="E297">
        <v>2500</v>
      </c>
      <c r="F297" t="s">
        <v>72</v>
      </c>
      <c r="G297" t="s">
        <v>73</v>
      </c>
      <c r="H297" t="s">
        <v>81</v>
      </c>
      <c r="I297" t="str">
        <f t="shared" si="17"/>
        <v>2026-08</v>
      </c>
      <c r="J297" t="str">
        <f ca="1">IFERROR(_xludf.XLOOKUP(C297,'Agent Master'!$A:$A,'Agent Master'!$B:$B,"Missing"),"Missing")</f>
        <v>Missing</v>
      </c>
      <c r="K297" t="str">
        <f ca="1">IFERROR(_xludf.XLOOKUP(C297,'Agent Master'!$A:$A,'Agent Master'!$C:$C,"Missing"),"Missing")</f>
        <v>Missing</v>
      </c>
      <c r="L297" t="str">
        <f t="shared" si="18"/>
        <v>August</v>
      </c>
      <c r="M297" t="str">
        <f>_xlfn.XLOOKUP('Transaction Data'!D297,ProductMap[Product Code],ProductMap[Product Name])</f>
        <v>BBPS</v>
      </c>
      <c r="N297" t="str">
        <f t="shared" si="19"/>
        <v>2026-08</v>
      </c>
      <c r="O297" t="str" cm="1">
        <f t="array" ref="O297">IFERROR(_xlfn.XLOOKUP(C297,AgentMaster[[#All],[Agent ID]],AgentMaster[[#All],[Agent Name]]),"")</f>
        <v>Agent 123</v>
      </c>
      <c r="P297">
        <f t="shared" si="20"/>
        <v>6</v>
      </c>
    </row>
    <row r="298" spans="1:16" x14ac:dyDescent="0.3">
      <c r="A298" t="s">
        <v>420</v>
      </c>
      <c r="B298" s="5">
        <v>46239</v>
      </c>
      <c r="C298" t="s">
        <v>98</v>
      </c>
      <c r="D298" t="s">
        <v>110</v>
      </c>
      <c r="E298">
        <v>2000</v>
      </c>
      <c r="F298" t="s">
        <v>72</v>
      </c>
      <c r="G298" t="s">
        <v>73</v>
      </c>
      <c r="H298" t="s">
        <v>74</v>
      </c>
      <c r="I298" t="str">
        <f t="shared" si="17"/>
        <v>2026-08</v>
      </c>
      <c r="J298" t="str">
        <f ca="1">IFERROR(_xludf.XLOOKUP(C298,'Agent Master'!$A:$A,'Agent Master'!$B:$B,"Missing"),"Missing")</f>
        <v>Missing</v>
      </c>
      <c r="K298" t="str">
        <f ca="1">IFERROR(_xludf.XLOOKUP(C298,'Agent Master'!$A:$A,'Agent Master'!$C:$C,"Missing"),"Missing")</f>
        <v>Missing</v>
      </c>
      <c r="L298" t="str">
        <f t="shared" si="18"/>
        <v>August</v>
      </c>
      <c r="M298" t="str">
        <f>_xlfn.XLOOKUP('Transaction Data'!D298,ProductMap[Product Code],ProductMap[Product Name])</f>
        <v>DMT</v>
      </c>
      <c r="N298" t="str">
        <f t="shared" si="19"/>
        <v>2026-08</v>
      </c>
      <c r="O298" t="str" cm="1">
        <f t="array" ref="O298">IFERROR(_xlfn.XLOOKUP(C298,AgentMaster[[#All],[Agent ID]],AgentMaster[[#All],[Agent Name]]),"")</f>
        <v/>
      </c>
      <c r="P298">
        <f t="shared" si="20"/>
        <v>25</v>
      </c>
    </row>
    <row r="299" spans="1:16" x14ac:dyDescent="0.3">
      <c r="A299" t="s">
        <v>421</v>
      </c>
      <c r="B299" s="5">
        <v>46236</v>
      </c>
      <c r="C299" t="s">
        <v>204</v>
      </c>
      <c r="D299" t="s">
        <v>95</v>
      </c>
      <c r="E299">
        <v>12500</v>
      </c>
      <c r="F299" t="s">
        <v>72</v>
      </c>
      <c r="G299" t="s">
        <v>73</v>
      </c>
      <c r="H299" t="s">
        <v>74</v>
      </c>
      <c r="I299" t="str">
        <f t="shared" si="17"/>
        <v>2026-08</v>
      </c>
      <c r="J299" t="str">
        <f ca="1">IFERROR(_xludf.XLOOKUP(C299,'Agent Master'!$A:$A,'Agent Master'!$B:$B,"Missing"),"Missing")</f>
        <v>Missing</v>
      </c>
      <c r="K299" t="str">
        <f ca="1">IFERROR(_xludf.XLOOKUP(C299,'Agent Master'!$A:$A,'Agent Master'!$C:$C,"Missing"),"Missing")</f>
        <v>Missing</v>
      </c>
      <c r="L299" t="str">
        <f t="shared" si="18"/>
        <v>August</v>
      </c>
      <c r="M299" t="str">
        <f>_xlfn.XLOOKUP('Transaction Data'!D299,ProductMap[Product Code],ProductMap[Product Name])</f>
        <v>BBPS</v>
      </c>
      <c r="N299" t="str">
        <f t="shared" si="19"/>
        <v>2026-08</v>
      </c>
      <c r="O299" t="str" cm="1">
        <f t="array" ref="O299">IFERROR(_xlfn.XLOOKUP(C299,AgentMaster[[#All],[Agent ID]],AgentMaster[[#All],[Agent Name]]),"")</f>
        <v>Agent 110</v>
      </c>
      <c r="P299">
        <f t="shared" si="20"/>
        <v>17</v>
      </c>
    </row>
    <row r="300" spans="1:16" x14ac:dyDescent="0.3">
      <c r="A300" t="s">
        <v>422</v>
      </c>
      <c r="B300" s="5">
        <v>46239</v>
      </c>
      <c r="C300" t="s">
        <v>104</v>
      </c>
      <c r="D300" t="s">
        <v>77</v>
      </c>
      <c r="E300">
        <v>2000</v>
      </c>
      <c r="F300" t="s">
        <v>72</v>
      </c>
      <c r="G300" t="s">
        <v>84</v>
      </c>
      <c r="H300" t="s">
        <v>81</v>
      </c>
      <c r="I300" t="str">
        <f t="shared" si="17"/>
        <v>2026-08</v>
      </c>
      <c r="J300" t="str">
        <f ca="1">IFERROR(_xludf.XLOOKUP(C300,'Agent Master'!$A:$A,'Agent Master'!$B:$B,"Missing"),"Missing")</f>
        <v>Missing</v>
      </c>
      <c r="K300" t="str">
        <f ca="1">IFERROR(_xludf.XLOOKUP(C300,'Agent Master'!$A:$A,'Agent Master'!$C:$C,"Missing"),"Missing")</f>
        <v>Missing</v>
      </c>
      <c r="L300" t="str">
        <f t="shared" si="18"/>
        <v>August</v>
      </c>
      <c r="M300" t="str">
        <f>_xlfn.XLOOKUP('Transaction Data'!D300,ProductMap[Product Code],ProductMap[Product Name])</f>
        <v>MATM</v>
      </c>
      <c r="N300" t="str">
        <f t="shared" si="19"/>
        <v>2026-08</v>
      </c>
      <c r="O300" t="str" cm="1">
        <f t="array" ref="O300">IFERROR(_xlfn.XLOOKUP(C300,AgentMaster[[#All],[Agent ID]],AgentMaster[[#All],[Agent Name]]),"")</f>
        <v>Agent 116</v>
      </c>
      <c r="P300">
        <f t="shared" si="20"/>
        <v>15</v>
      </c>
    </row>
    <row r="301" spans="1:16" x14ac:dyDescent="0.3">
      <c r="A301" t="s">
        <v>423</v>
      </c>
      <c r="B301" s="5">
        <v>46273</v>
      </c>
      <c r="C301" t="s">
        <v>204</v>
      </c>
      <c r="D301" t="s">
        <v>77</v>
      </c>
      <c r="E301">
        <v>5000</v>
      </c>
      <c r="F301" t="s">
        <v>72</v>
      </c>
      <c r="G301" t="s">
        <v>84</v>
      </c>
      <c r="H301" t="s">
        <v>78</v>
      </c>
      <c r="I301" t="str">
        <f t="shared" si="17"/>
        <v>2026-09</v>
      </c>
      <c r="J301" t="str">
        <f ca="1">IFERROR(_xludf.XLOOKUP(C301,'Agent Master'!$A:$A,'Agent Master'!$B:$B,"Missing"),"Missing")</f>
        <v>Missing</v>
      </c>
      <c r="K301" t="str">
        <f ca="1">IFERROR(_xludf.XLOOKUP(C301,'Agent Master'!$A:$A,'Agent Master'!$C:$C,"Missing"),"Missing")</f>
        <v>Missing</v>
      </c>
      <c r="L301" t="str">
        <f t="shared" si="18"/>
        <v>September</v>
      </c>
      <c r="M301" t="str">
        <f>_xlfn.XLOOKUP('Transaction Data'!D301,ProductMap[Product Code],ProductMap[Product Name])</f>
        <v>MATM</v>
      </c>
      <c r="N301" t="str">
        <f t="shared" si="19"/>
        <v>2026-09</v>
      </c>
      <c r="O301" t="str" cm="1">
        <f t="array" ref="O301">IFERROR(_xlfn.XLOOKUP(C301,AgentMaster[[#All],[Agent ID]],AgentMaster[[#All],[Agent Name]]),"")</f>
        <v>Agent 110</v>
      </c>
      <c r="P301">
        <f t="shared" si="20"/>
        <v>17</v>
      </c>
    </row>
    <row r="302" spans="1:16" x14ac:dyDescent="0.3">
      <c r="A302" t="s">
        <v>424</v>
      </c>
      <c r="B302" s="5">
        <v>46283</v>
      </c>
      <c r="C302" t="s">
        <v>108</v>
      </c>
      <c r="D302" t="s">
        <v>95</v>
      </c>
      <c r="E302">
        <v>750</v>
      </c>
      <c r="F302" t="s">
        <v>72</v>
      </c>
      <c r="G302" t="s">
        <v>84</v>
      </c>
      <c r="H302" t="s">
        <v>78</v>
      </c>
      <c r="I302" t="str">
        <f t="shared" si="17"/>
        <v>2026-09</v>
      </c>
      <c r="J302" t="str">
        <f ca="1">IFERROR(_xludf.XLOOKUP(C302,'Agent Master'!$A:$A,'Agent Master'!$B:$B,"Missing"),"Missing")</f>
        <v>Missing</v>
      </c>
      <c r="K302" t="str">
        <f ca="1">IFERROR(_xludf.XLOOKUP(C302,'Agent Master'!$A:$A,'Agent Master'!$C:$C,"Missing"),"Missing")</f>
        <v>Missing</v>
      </c>
      <c r="L302" t="str">
        <f t="shared" si="18"/>
        <v>September</v>
      </c>
      <c r="M302" t="str">
        <f>_xlfn.XLOOKUP('Transaction Data'!D302,ProductMap[Product Code],ProductMap[Product Name])</f>
        <v>BBPS</v>
      </c>
      <c r="N302" t="str">
        <f t="shared" si="19"/>
        <v>2026-09</v>
      </c>
      <c r="O302" t="str" cm="1">
        <f t="array" ref="O302">IFERROR(_xlfn.XLOOKUP(C302,AgentMaster[[#All],[Agent ID]],AgentMaster[[#All],[Agent Name]]),"")</f>
        <v>Agent 105</v>
      </c>
      <c r="P302">
        <f t="shared" si="20"/>
        <v>8</v>
      </c>
    </row>
    <row r="303" spans="1:16" x14ac:dyDescent="0.3">
      <c r="A303" t="s">
        <v>425</v>
      </c>
      <c r="B303" s="5">
        <v>46255</v>
      </c>
      <c r="D303" t="s">
        <v>87</v>
      </c>
      <c r="E303">
        <v>1000</v>
      </c>
      <c r="F303" t="s">
        <v>72</v>
      </c>
      <c r="G303" t="s">
        <v>73</v>
      </c>
      <c r="H303" t="s">
        <v>74</v>
      </c>
      <c r="I303" t="str">
        <f t="shared" si="17"/>
        <v>2026-08</v>
      </c>
      <c r="J303" t="str">
        <f ca="1">IFERROR(_xludf.XLOOKUP(C303,'Agent Master'!$A:$A,'Agent Master'!$B:$B,"Missing"),"Missing")</f>
        <v>Missing</v>
      </c>
      <c r="K303" t="str">
        <f ca="1">IFERROR(_xludf.XLOOKUP(C303,'Agent Master'!$A:$A,'Agent Master'!$C:$C,"Missing"),"Missing")</f>
        <v>Missing</v>
      </c>
      <c r="L303" t="str">
        <f t="shared" si="18"/>
        <v>August</v>
      </c>
      <c r="M303" t="str">
        <f>_xlfn.XLOOKUP('Transaction Data'!D303,ProductMap[Product Code],ProductMap[Product Name])</f>
        <v>APAY</v>
      </c>
      <c r="N303" t="str">
        <f t="shared" si="19"/>
        <v>2026-08</v>
      </c>
      <c r="O303" t="str" cm="1">
        <f t="array" ref="O303">IFERROR(_xlfn.XLOOKUP(C303,AgentMaster[[#All],[Agent ID]],AgentMaster[[#All],[Agent Name]]),"")</f>
        <v/>
      </c>
      <c r="P303">
        <f t="shared" si="20"/>
        <v>25</v>
      </c>
    </row>
    <row r="304" spans="1:16" x14ac:dyDescent="0.3">
      <c r="A304" t="s">
        <v>426</v>
      </c>
      <c r="B304" s="5">
        <v>46266</v>
      </c>
      <c r="C304" t="s">
        <v>189</v>
      </c>
      <c r="D304" t="s">
        <v>110</v>
      </c>
      <c r="E304">
        <v>7500</v>
      </c>
      <c r="F304" t="s">
        <v>72</v>
      </c>
      <c r="G304" t="s">
        <v>84</v>
      </c>
      <c r="H304" t="s">
        <v>96</v>
      </c>
      <c r="I304" t="str">
        <f t="shared" si="17"/>
        <v>2026-09</v>
      </c>
      <c r="J304" t="str">
        <f ca="1">IFERROR(_xludf.XLOOKUP(C304,'Agent Master'!$A:$A,'Agent Master'!$B:$B,"Missing"),"Missing")</f>
        <v>Missing</v>
      </c>
      <c r="K304" t="str">
        <f ca="1">IFERROR(_xludf.XLOOKUP(C304,'Agent Master'!$A:$A,'Agent Master'!$C:$C,"Missing"),"Missing")</f>
        <v>Missing</v>
      </c>
      <c r="L304" t="str">
        <f t="shared" si="18"/>
        <v>September</v>
      </c>
      <c r="M304" t="str">
        <f>_xlfn.XLOOKUP('Transaction Data'!D304,ProductMap[Product Code],ProductMap[Product Name])</f>
        <v>DMT</v>
      </c>
      <c r="N304" t="str">
        <f t="shared" si="19"/>
        <v>2026-09</v>
      </c>
      <c r="O304" t="str" cm="1">
        <f t="array" ref="O304">IFERROR(_xlfn.XLOOKUP(C304,AgentMaster[[#All],[Agent ID]],AgentMaster[[#All],[Agent Name]]),"")</f>
        <v>Agent 134</v>
      </c>
      <c r="P304">
        <f t="shared" si="20"/>
        <v>6</v>
      </c>
    </row>
    <row r="305" spans="1:16" x14ac:dyDescent="0.3">
      <c r="A305" t="s">
        <v>427</v>
      </c>
      <c r="B305" s="5">
        <v>46280</v>
      </c>
      <c r="C305" t="s">
        <v>172</v>
      </c>
      <c r="D305" t="s">
        <v>90</v>
      </c>
      <c r="E305">
        <v>10000</v>
      </c>
      <c r="F305" t="s">
        <v>72</v>
      </c>
      <c r="G305" t="s">
        <v>73</v>
      </c>
      <c r="H305" t="s">
        <v>78</v>
      </c>
      <c r="I305" t="str">
        <f t="shared" si="17"/>
        <v>2026-09</v>
      </c>
      <c r="J305" t="str">
        <f ca="1">IFERROR(_xludf.XLOOKUP(C305,'Agent Master'!$A:$A,'Agent Master'!$B:$B,"Missing"),"Missing")</f>
        <v>Missing</v>
      </c>
      <c r="K305" t="str">
        <f ca="1">IFERROR(_xludf.XLOOKUP(C305,'Agent Master'!$A:$A,'Agent Master'!$C:$C,"Missing"),"Missing")</f>
        <v>Missing</v>
      </c>
      <c r="L305" t="str">
        <f t="shared" si="18"/>
        <v>September</v>
      </c>
      <c r="M305" t="str">
        <f>_xlfn.XLOOKUP('Transaction Data'!D305,ProductMap[Product Code],ProductMap[Product Name])</f>
        <v>UPI</v>
      </c>
      <c r="N305" t="str">
        <f t="shared" si="19"/>
        <v>2026-09</v>
      </c>
      <c r="O305" t="str" cm="1">
        <f t="array" ref="O305">IFERROR(_xlfn.XLOOKUP(C305,AgentMaster[[#All],[Agent ID]],AgentMaster[[#All],[Agent Name]]),"")</f>
        <v>Agent 129</v>
      </c>
      <c r="P305">
        <f t="shared" si="20"/>
        <v>18</v>
      </c>
    </row>
    <row r="306" spans="1:16" x14ac:dyDescent="0.3">
      <c r="A306" t="s">
        <v>428</v>
      </c>
      <c r="B306" s="5">
        <v>46247</v>
      </c>
      <c r="C306" t="s">
        <v>70</v>
      </c>
      <c r="D306" t="s">
        <v>90</v>
      </c>
      <c r="E306">
        <v>500</v>
      </c>
      <c r="F306" t="s">
        <v>72</v>
      </c>
      <c r="G306" t="s">
        <v>73</v>
      </c>
      <c r="H306" t="s">
        <v>78</v>
      </c>
      <c r="I306" t="str">
        <f t="shared" si="17"/>
        <v>2026-08</v>
      </c>
      <c r="J306" t="str">
        <f ca="1">IFERROR(_xludf.XLOOKUP(C306,'Agent Master'!$A:$A,'Agent Master'!$B:$B,"Missing"),"Missing")</f>
        <v>Missing</v>
      </c>
      <c r="K306" t="str">
        <f ca="1">IFERROR(_xludf.XLOOKUP(C306,'Agent Master'!$A:$A,'Agent Master'!$C:$C,"Missing"),"Missing")</f>
        <v>Missing</v>
      </c>
      <c r="L306" t="str">
        <f t="shared" si="18"/>
        <v>August</v>
      </c>
      <c r="M306" t="str">
        <f>_xlfn.XLOOKUP('Transaction Data'!D306,ProductMap[Product Code],ProductMap[Product Name])</f>
        <v>UPI</v>
      </c>
      <c r="N306" t="str">
        <f t="shared" si="19"/>
        <v>2026-08</v>
      </c>
      <c r="O306" t="str" cm="1">
        <f t="array" ref="O306">IFERROR(_xlfn.XLOOKUP(C306,AgentMaster[[#All],[Agent ID]],AgentMaster[[#All],[Agent Name]]),"")</f>
        <v>Agent 108</v>
      </c>
      <c r="P306">
        <f t="shared" si="20"/>
        <v>12</v>
      </c>
    </row>
    <row r="307" spans="1:16" x14ac:dyDescent="0.3">
      <c r="A307" t="s">
        <v>429</v>
      </c>
      <c r="B307" s="5">
        <v>46240</v>
      </c>
      <c r="C307" t="s">
        <v>106</v>
      </c>
      <c r="D307" t="s">
        <v>77</v>
      </c>
      <c r="E307">
        <v>2000</v>
      </c>
      <c r="F307" t="s">
        <v>72</v>
      </c>
      <c r="G307" t="s">
        <v>73</v>
      </c>
      <c r="H307" t="s">
        <v>96</v>
      </c>
      <c r="I307" t="str">
        <f t="shared" si="17"/>
        <v>2026-08</v>
      </c>
      <c r="J307" t="str">
        <f ca="1">IFERROR(_xludf.XLOOKUP(C307,'Agent Master'!$A:$A,'Agent Master'!$B:$B,"Missing"),"Missing")</f>
        <v>Missing</v>
      </c>
      <c r="K307" t="str">
        <f ca="1">IFERROR(_xludf.XLOOKUP(C307,'Agent Master'!$A:$A,'Agent Master'!$C:$C,"Missing"),"Missing")</f>
        <v>Missing</v>
      </c>
      <c r="L307" t="str">
        <f t="shared" si="18"/>
        <v>August</v>
      </c>
      <c r="M307" t="str">
        <f>_xlfn.XLOOKUP('Transaction Data'!D307,ProductMap[Product Code],ProductMap[Product Name])</f>
        <v>MATM</v>
      </c>
      <c r="N307" t="str">
        <f t="shared" si="19"/>
        <v>2026-08</v>
      </c>
      <c r="O307" t="str" cm="1">
        <f t="array" ref="O307">IFERROR(_xlfn.XLOOKUP(C307,AgentMaster[[#All],[Agent ID]],AgentMaster[[#All],[Agent Name]]),"")</f>
        <v>Agent 121</v>
      </c>
      <c r="P307">
        <f t="shared" si="20"/>
        <v>7</v>
      </c>
    </row>
    <row r="308" spans="1:16" x14ac:dyDescent="0.3">
      <c r="A308" t="s">
        <v>430</v>
      </c>
      <c r="B308" s="5">
        <v>46292</v>
      </c>
      <c r="C308" t="s">
        <v>193</v>
      </c>
      <c r="D308" t="s">
        <v>90</v>
      </c>
      <c r="E308">
        <v>15000</v>
      </c>
      <c r="F308" t="s">
        <v>72</v>
      </c>
      <c r="G308" t="s">
        <v>84</v>
      </c>
      <c r="H308" t="s">
        <v>74</v>
      </c>
      <c r="I308" t="str">
        <f t="shared" si="17"/>
        <v>2026-09</v>
      </c>
      <c r="J308" t="str">
        <f ca="1">IFERROR(_xludf.XLOOKUP(C308,'Agent Master'!$A:$A,'Agent Master'!$B:$B,"Missing"),"Missing")</f>
        <v>Missing</v>
      </c>
      <c r="K308" t="str">
        <f ca="1">IFERROR(_xludf.XLOOKUP(C308,'Agent Master'!$A:$A,'Agent Master'!$C:$C,"Missing"),"Missing")</f>
        <v>Missing</v>
      </c>
      <c r="L308" t="str">
        <f t="shared" si="18"/>
        <v>September</v>
      </c>
      <c r="M308" t="str">
        <f>_xlfn.XLOOKUP('Transaction Data'!D308,ProductMap[Product Code],ProductMap[Product Name])</f>
        <v>UPI</v>
      </c>
      <c r="N308" t="str">
        <f t="shared" si="19"/>
        <v>2026-09</v>
      </c>
      <c r="O308" t="str" cm="1">
        <f t="array" ref="O308">IFERROR(_xlfn.XLOOKUP(C308,AgentMaster[[#All],[Agent ID]],AgentMaster[[#All],[Agent Name]]),"")</f>
        <v>Agent 120</v>
      </c>
      <c r="P308">
        <f t="shared" si="20"/>
        <v>8</v>
      </c>
    </row>
    <row r="309" spans="1:16" x14ac:dyDescent="0.3">
      <c r="A309" t="s">
        <v>431</v>
      </c>
      <c r="B309" s="5">
        <v>46242</v>
      </c>
      <c r="C309" t="s">
        <v>83</v>
      </c>
      <c r="D309" t="s">
        <v>90</v>
      </c>
      <c r="E309">
        <v>1000</v>
      </c>
      <c r="F309" t="s">
        <v>72</v>
      </c>
      <c r="G309" t="s">
        <v>73</v>
      </c>
      <c r="H309" t="s">
        <v>96</v>
      </c>
      <c r="I309" t="str">
        <f t="shared" si="17"/>
        <v>2026-08</v>
      </c>
      <c r="J309" t="str">
        <f ca="1">IFERROR(_xludf.XLOOKUP(C309,'Agent Master'!$A:$A,'Agent Master'!$B:$B,"Missing"),"Missing")</f>
        <v>Missing</v>
      </c>
      <c r="K309" t="str">
        <f ca="1">IFERROR(_xludf.XLOOKUP(C309,'Agent Master'!$A:$A,'Agent Master'!$C:$C,"Missing"),"Missing")</f>
        <v>Missing</v>
      </c>
      <c r="L309" t="str">
        <f t="shared" si="18"/>
        <v>August</v>
      </c>
      <c r="M309" t="str">
        <f>_xlfn.XLOOKUP('Transaction Data'!D309,ProductMap[Product Code],ProductMap[Product Name])</f>
        <v>UPI</v>
      </c>
      <c r="N309" t="str">
        <f t="shared" si="19"/>
        <v>2026-08</v>
      </c>
      <c r="O309" t="str" cm="1">
        <f t="array" ref="O309">IFERROR(_xlfn.XLOOKUP(C309,AgentMaster[[#All],[Agent ID]],AgentMaster[[#All],[Agent Name]]),"")</f>
        <v>Agent 113</v>
      </c>
      <c r="P309">
        <f t="shared" si="20"/>
        <v>12</v>
      </c>
    </row>
    <row r="310" spans="1:16" x14ac:dyDescent="0.3">
      <c r="A310" t="s">
        <v>432</v>
      </c>
      <c r="B310" s="5">
        <v>46270</v>
      </c>
      <c r="C310" t="s">
        <v>125</v>
      </c>
      <c r="D310" t="s">
        <v>87</v>
      </c>
      <c r="E310">
        <v>5000</v>
      </c>
      <c r="F310" t="s">
        <v>72</v>
      </c>
      <c r="G310" t="s">
        <v>73</v>
      </c>
      <c r="H310" t="s">
        <v>81</v>
      </c>
      <c r="I310" t="str">
        <f t="shared" si="17"/>
        <v>2026-09</v>
      </c>
      <c r="J310" t="str">
        <f ca="1">IFERROR(_xludf.XLOOKUP(C310,'Agent Master'!$A:$A,'Agent Master'!$B:$B,"Missing"),"Missing")</f>
        <v>Missing</v>
      </c>
      <c r="K310" t="str">
        <f ca="1">IFERROR(_xludf.XLOOKUP(C310,'Agent Master'!$A:$A,'Agent Master'!$C:$C,"Missing"),"Missing")</f>
        <v>Missing</v>
      </c>
      <c r="L310" t="str">
        <f t="shared" si="18"/>
        <v>September</v>
      </c>
      <c r="M310" t="str">
        <f>_xlfn.XLOOKUP('Transaction Data'!D310,ProductMap[Product Code],ProductMap[Product Name])</f>
        <v>APAY</v>
      </c>
      <c r="N310" t="str">
        <f t="shared" si="19"/>
        <v>2026-09</v>
      </c>
      <c r="O310" t="str" cm="1">
        <f t="array" ref="O310">IFERROR(_xlfn.XLOOKUP(C310,AgentMaster[[#All],[Agent ID]],AgentMaster[[#All],[Agent Name]]),"")</f>
        <v>Agent 137</v>
      </c>
      <c r="P310">
        <f t="shared" si="20"/>
        <v>11</v>
      </c>
    </row>
    <row r="311" spans="1:16" x14ac:dyDescent="0.3">
      <c r="A311" t="s">
        <v>433</v>
      </c>
      <c r="B311" s="5">
        <v>46239</v>
      </c>
      <c r="C311" t="s">
        <v>193</v>
      </c>
      <c r="D311" t="s">
        <v>110</v>
      </c>
      <c r="E311">
        <v>15000</v>
      </c>
      <c r="F311" t="s">
        <v>72</v>
      </c>
      <c r="G311" t="s">
        <v>73</v>
      </c>
      <c r="H311" t="s">
        <v>78</v>
      </c>
      <c r="I311" t="str">
        <f t="shared" si="17"/>
        <v>2026-08</v>
      </c>
      <c r="J311" t="str">
        <f ca="1">IFERROR(_xludf.XLOOKUP(C311,'Agent Master'!$A:$A,'Agent Master'!$B:$B,"Missing"),"Missing")</f>
        <v>Missing</v>
      </c>
      <c r="K311" t="str">
        <f ca="1">IFERROR(_xludf.XLOOKUP(C311,'Agent Master'!$A:$A,'Agent Master'!$C:$C,"Missing"),"Missing")</f>
        <v>Missing</v>
      </c>
      <c r="L311" t="str">
        <f t="shared" si="18"/>
        <v>August</v>
      </c>
      <c r="M311" t="str">
        <f>_xlfn.XLOOKUP('Transaction Data'!D311,ProductMap[Product Code],ProductMap[Product Name])</f>
        <v>DMT</v>
      </c>
      <c r="N311" t="str">
        <f t="shared" si="19"/>
        <v>2026-08</v>
      </c>
      <c r="O311" t="str" cm="1">
        <f t="array" ref="O311">IFERROR(_xlfn.XLOOKUP(C311,AgentMaster[[#All],[Agent ID]],AgentMaster[[#All],[Agent Name]]),"")</f>
        <v>Agent 120</v>
      </c>
      <c r="P311">
        <f t="shared" si="20"/>
        <v>8</v>
      </c>
    </row>
    <row r="312" spans="1:16" x14ac:dyDescent="0.3">
      <c r="A312" t="s">
        <v>434</v>
      </c>
      <c r="B312" s="5">
        <v>46284</v>
      </c>
      <c r="C312" t="s">
        <v>180</v>
      </c>
      <c r="D312" t="s">
        <v>95</v>
      </c>
      <c r="E312">
        <v>500</v>
      </c>
      <c r="F312" t="s">
        <v>72</v>
      </c>
      <c r="G312" t="s">
        <v>84</v>
      </c>
      <c r="H312" t="s">
        <v>81</v>
      </c>
      <c r="I312" t="str">
        <f t="shared" si="17"/>
        <v>2026-09</v>
      </c>
      <c r="J312" t="str">
        <f ca="1">IFERROR(_xludf.XLOOKUP(C312,'Agent Master'!$A:$A,'Agent Master'!$B:$B,"Missing"),"Missing")</f>
        <v>Missing</v>
      </c>
      <c r="K312" t="str">
        <f ca="1">IFERROR(_xludf.XLOOKUP(C312,'Agent Master'!$A:$A,'Agent Master'!$C:$C,"Missing"),"Missing")</f>
        <v>Missing</v>
      </c>
      <c r="L312" t="str">
        <f t="shared" si="18"/>
        <v>September</v>
      </c>
      <c r="M312" t="str">
        <f>_xlfn.XLOOKUP('Transaction Data'!D312,ProductMap[Product Code],ProductMap[Product Name])</f>
        <v>BBPS</v>
      </c>
      <c r="N312" t="str">
        <f t="shared" si="19"/>
        <v>2026-09</v>
      </c>
      <c r="O312" t="str" cm="1">
        <f t="array" ref="O312">IFERROR(_xlfn.XLOOKUP(C312,AgentMaster[[#All],[Agent ID]],AgentMaster[[#All],[Agent Name]]),"")</f>
        <v>Agent 127</v>
      </c>
      <c r="P312">
        <f t="shared" si="20"/>
        <v>11</v>
      </c>
    </row>
    <row r="313" spans="1:16" x14ac:dyDescent="0.3">
      <c r="A313" t="s">
        <v>435</v>
      </c>
      <c r="B313" s="5">
        <v>46263</v>
      </c>
      <c r="C313" t="s">
        <v>94</v>
      </c>
      <c r="D313" t="s">
        <v>77</v>
      </c>
      <c r="E313">
        <v>7500</v>
      </c>
      <c r="F313" t="s">
        <v>72</v>
      </c>
      <c r="G313" t="s">
        <v>73</v>
      </c>
      <c r="H313" t="s">
        <v>74</v>
      </c>
      <c r="I313" t="str">
        <f t="shared" si="17"/>
        <v>2026-08</v>
      </c>
      <c r="J313" t="str">
        <f ca="1">IFERROR(_xludf.XLOOKUP(C313,'Agent Master'!$A:$A,'Agent Master'!$B:$B,"Missing"),"Missing")</f>
        <v>Missing</v>
      </c>
      <c r="K313" t="str">
        <f ca="1">IFERROR(_xludf.XLOOKUP(C313,'Agent Master'!$A:$A,'Agent Master'!$C:$C,"Missing"),"Missing")</f>
        <v>Missing</v>
      </c>
      <c r="L313" t="str">
        <f t="shared" si="18"/>
        <v>August</v>
      </c>
      <c r="M313" t="str">
        <f>_xlfn.XLOOKUP('Transaction Data'!D313,ProductMap[Product Code],ProductMap[Product Name])</f>
        <v>MATM</v>
      </c>
      <c r="N313" t="str">
        <f t="shared" si="19"/>
        <v>2026-08</v>
      </c>
      <c r="O313" t="str" cm="1">
        <f t="array" ref="O313">IFERROR(_xlfn.XLOOKUP(C313,AgentMaster[[#All],[Agent ID]],AgentMaster[[#All],[Agent Name]]),"")</f>
        <v>Agent 130</v>
      </c>
      <c r="P313">
        <f t="shared" si="20"/>
        <v>16</v>
      </c>
    </row>
    <row r="314" spans="1:16" x14ac:dyDescent="0.3">
      <c r="A314" t="s">
        <v>436</v>
      </c>
      <c r="B314" s="5">
        <v>46284</v>
      </c>
      <c r="C314" t="s">
        <v>161</v>
      </c>
      <c r="D314" t="s">
        <v>110</v>
      </c>
      <c r="E314">
        <v>7500</v>
      </c>
      <c r="F314" t="s">
        <v>72</v>
      </c>
      <c r="G314" t="s">
        <v>73</v>
      </c>
      <c r="H314" t="s">
        <v>74</v>
      </c>
      <c r="I314" t="str">
        <f t="shared" si="17"/>
        <v>2026-09</v>
      </c>
      <c r="J314" t="str">
        <f ca="1">IFERROR(_xludf.XLOOKUP(C314,'Agent Master'!$A:$A,'Agent Master'!$B:$B,"Missing"),"Missing")</f>
        <v>Missing</v>
      </c>
      <c r="K314" t="str">
        <f ca="1">IFERROR(_xludf.XLOOKUP(C314,'Agent Master'!$A:$A,'Agent Master'!$C:$C,"Missing"),"Missing")</f>
        <v>Missing</v>
      </c>
      <c r="L314" t="str">
        <f t="shared" si="18"/>
        <v>September</v>
      </c>
      <c r="M314" t="str">
        <f>_xlfn.XLOOKUP('Transaction Data'!D314,ProductMap[Product Code],ProductMap[Product Name])</f>
        <v>DMT</v>
      </c>
      <c r="N314" t="str">
        <f t="shared" si="19"/>
        <v>2026-09</v>
      </c>
      <c r="O314" t="str" cm="1">
        <f t="array" ref="O314">IFERROR(_xlfn.XLOOKUP(C314,AgentMaster[[#All],[Agent ID]],AgentMaster[[#All],[Agent Name]]),"")</f>
        <v>Agent 109</v>
      </c>
      <c r="P314">
        <f t="shared" si="20"/>
        <v>16</v>
      </c>
    </row>
    <row r="315" spans="1:16" x14ac:dyDescent="0.3">
      <c r="A315" t="s">
        <v>437</v>
      </c>
      <c r="B315" s="5">
        <v>46254</v>
      </c>
      <c r="C315" t="s">
        <v>199</v>
      </c>
      <c r="D315" t="s">
        <v>90</v>
      </c>
      <c r="E315">
        <v>2000</v>
      </c>
      <c r="F315" t="s">
        <v>72</v>
      </c>
      <c r="G315" t="s">
        <v>84</v>
      </c>
      <c r="H315" t="s">
        <v>96</v>
      </c>
      <c r="I315" t="str">
        <f t="shared" si="17"/>
        <v>2026-08</v>
      </c>
      <c r="J315" t="str">
        <f ca="1">IFERROR(_xludf.XLOOKUP(C315,'Agent Master'!$A:$A,'Agent Master'!$B:$B,"Missing"),"Missing")</f>
        <v>Missing</v>
      </c>
      <c r="K315" t="str">
        <f ca="1">IFERROR(_xludf.XLOOKUP(C315,'Agent Master'!$A:$A,'Agent Master'!$C:$C,"Missing"),"Missing")</f>
        <v>Missing</v>
      </c>
      <c r="L315" t="str">
        <f t="shared" si="18"/>
        <v>August</v>
      </c>
      <c r="M315" t="str">
        <f>_xlfn.XLOOKUP('Transaction Data'!D315,ProductMap[Product Code],ProductMap[Product Name])</f>
        <v>UPI</v>
      </c>
      <c r="N315" t="str">
        <f t="shared" si="19"/>
        <v>2026-08</v>
      </c>
      <c r="O315" t="str" cm="1">
        <f t="array" ref="O315">IFERROR(_xlfn.XLOOKUP(C315,AgentMaster[[#All],[Agent ID]],AgentMaster[[#All],[Agent Name]]),"")</f>
        <v>Agent 111</v>
      </c>
      <c r="P315">
        <f t="shared" si="20"/>
        <v>8</v>
      </c>
    </row>
    <row r="316" spans="1:16" x14ac:dyDescent="0.3">
      <c r="A316" t="s">
        <v>438</v>
      </c>
      <c r="B316" s="5">
        <v>46289</v>
      </c>
      <c r="C316" t="s">
        <v>157</v>
      </c>
      <c r="D316" t="s">
        <v>87</v>
      </c>
      <c r="E316">
        <v>1000</v>
      </c>
      <c r="F316" t="s">
        <v>72</v>
      </c>
      <c r="G316" t="s">
        <v>84</v>
      </c>
      <c r="H316" t="s">
        <v>74</v>
      </c>
      <c r="I316" t="str">
        <f t="shared" si="17"/>
        <v>2026-09</v>
      </c>
      <c r="J316" t="str">
        <f ca="1">IFERROR(_xludf.XLOOKUP(C316,'Agent Master'!$A:$A,'Agent Master'!$B:$B,"Missing"),"Missing")</f>
        <v>Missing</v>
      </c>
      <c r="K316" t="str">
        <f ca="1">IFERROR(_xludf.XLOOKUP(C316,'Agent Master'!$A:$A,'Agent Master'!$C:$C,"Missing"),"Missing")</f>
        <v>Missing</v>
      </c>
      <c r="L316" t="str">
        <f t="shared" si="18"/>
        <v>September</v>
      </c>
      <c r="M316" t="str">
        <f>_xlfn.XLOOKUP('Transaction Data'!D316,ProductMap[Product Code],ProductMap[Product Name])</f>
        <v>APAY</v>
      </c>
      <c r="N316" t="str">
        <f t="shared" si="19"/>
        <v>2026-09</v>
      </c>
      <c r="O316" t="str" cm="1">
        <f t="array" ref="O316">IFERROR(_xlfn.XLOOKUP(C316,AgentMaster[[#All],[Agent ID]],AgentMaster[[#All],[Agent Name]]),"")</f>
        <v>Agent 106</v>
      </c>
      <c r="P316">
        <f t="shared" si="20"/>
        <v>8</v>
      </c>
    </row>
    <row r="317" spans="1:16" x14ac:dyDescent="0.3">
      <c r="A317" t="s">
        <v>439</v>
      </c>
      <c r="B317" s="5">
        <v>46275</v>
      </c>
      <c r="C317" t="s">
        <v>193</v>
      </c>
      <c r="D317" t="s">
        <v>95</v>
      </c>
      <c r="E317">
        <v>7500</v>
      </c>
      <c r="F317" t="s">
        <v>72</v>
      </c>
      <c r="G317" t="s">
        <v>73</v>
      </c>
      <c r="H317" t="s">
        <v>74</v>
      </c>
      <c r="I317" t="str">
        <f t="shared" si="17"/>
        <v>2026-09</v>
      </c>
      <c r="J317" t="str">
        <f ca="1">IFERROR(_xludf.XLOOKUP(C317,'Agent Master'!$A:$A,'Agent Master'!$B:$B,"Missing"),"Missing")</f>
        <v>Missing</v>
      </c>
      <c r="K317" t="str">
        <f ca="1">IFERROR(_xludf.XLOOKUP(C317,'Agent Master'!$A:$A,'Agent Master'!$C:$C,"Missing"),"Missing")</f>
        <v>Missing</v>
      </c>
      <c r="L317" t="str">
        <f t="shared" si="18"/>
        <v>September</v>
      </c>
      <c r="M317" t="str">
        <f>_xlfn.XLOOKUP('Transaction Data'!D317,ProductMap[Product Code],ProductMap[Product Name])</f>
        <v>BBPS</v>
      </c>
      <c r="N317" t="str">
        <f t="shared" si="19"/>
        <v>2026-09</v>
      </c>
      <c r="O317" t="str" cm="1">
        <f t="array" ref="O317">IFERROR(_xlfn.XLOOKUP(C317,AgentMaster[[#All],[Agent ID]],AgentMaster[[#All],[Agent Name]]),"")</f>
        <v>Agent 120</v>
      </c>
      <c r="P317">
        <f t="shared" si="20"/>
        <v>8</v>
      </c>
    </row>
    <row r="318" spans="1:16" x14ac:dyDescent="0.3">
      <c r="A318" t="s">
        <v>440</v>
      </c>
      <c r="B318" s="5">
        <v>46272</v>
      </c>
      <c r="C318" t="s">
        <v>86</v>
      </c>
      <c r="D318" t="s">
        <v>90</v>
      </c>
      <c r="E318">
        <v>750</v>
      </c>
      <c r="F318" t="s">
        <v>92</v>
      </c>
      <c r="G318" t="s">
        <v>73</v>
      </c>
      <c r="H318" t="s">
        <v>96</v>
      </c>
      <c r="I318" t="str">
        <f t="shared" si="17"/>
        <v>2026-09</v>
      </c>
      <c r="J318" t="str">
        <f ca="1">IFERROR(_xludf.XLOOKUP(C318,'Agent Master'!$A:$A,'Agent Master'!$B:$B,"Missing"),"Missing")</f>
        <v>Missing</v>
      </c>
      <c r="K318" t="str">
        <f ca="1">IFERROR(_xludf.XLOOKUP(C318,'Agent Master'!$A:$A,'Agent Master'!$C:$C,"Missing"),"Missing")</f>
        <v>Missing</v>
      </c>
      <c r="L318" t="str">
        <f t="shared" si="18"/>
        <v>September</v>
      </c>
      <c r="M318" t="str">
        <f>_xlfn.XLOOKUP('Transaction Data'!D318,ProductMap[Product Code],ProductMap[Product Name])</f>
        <v>UPI</v>
      </c>
      <c r="N318" t="str">
        <f t="shared" si="19"/>
        <v>2026-09</v>
      </c>
      <c r="O318" t="str" cm="1">
        <f t="array" ref="O318">IFERROR(_xlfn.XLOOKUP(C318,AgentMaster[[#All],[Agent ID]],AgentMaster[[#All],[Agent Name]]),"")</f>
        <v>Agent 138</v>
      </c>
      <c r="P318">
        <f t="shared" si="20"/>
        <v>4</v>
      </c>
    </row>
    <row r="319" spans="1:16" x14ac:dyDescent="0.3">
      <c r="A319" t="s">
        <v>441</v>
      </c>
      <c r="B319" s="5">
        <v>46288</v>
      </c>
      <c r="C319" t="s">
        <v>125</v>
      </c>
      <c r="D319" t="s">
        <v>71</v>
      </c>
      <c r="E319">
        <v>250</v>
      </c>
      <c r="F319" t="s">
        <v>72</v>
      </c>
      <c r="G319" t="s">
        <v>73</v>
      </c>
      <c r="H319" t="s">
        <v>96</v>
      </c>
      <c r="I319" t="str">
        <f t="shared" si="17"/>
        <v>2026-09</v>
      </c>
      <c r="J319" t="str">
        <f ca="1">IFERROR(_xludf.XLOOKUP(C319,'Agent Master'!$A:$A,'Agent Master'!$B:$B,"Missing"),"Missing")</f>
        <v>Missing</v>
      </c>
      <c r="K319" t="str">
        <f ca="1">IFERROR(_xludf.XLOOKUP(C319,'Agent Master'!$A:$A,'Agent Master'!$C:$C,"Missing"),"Missing")</f>
        <v>Missing</v>
      </c>
      <c r="L319" t="str">
        <f t="shared" si="18"/>
        <v>September</v>
      </c>
      <c r="M319" t="str">
        <f>_xlfn.XLOOKUP('Transaction Data'!D319,ProductMap[Product Code],ProductMap[Product Name])</f>
        <v>AEPS</v>
      </c>
      <c r="N319" t="str">
        <f t="shared" si="19"/>
        <v>2026-09</v>
      </c>
      <c r="O319" t="str" cm="1">
        <f t="array" ref="O319">IFERROR(_xlfn.XLOOKUP(C319,AgentMaster[[#All],[Agent ID]],AgentMaster[[#All],[Agent Name]]),"")</f>
        <v>Agent 137</v>
      </c>
      <c r="P319">
        <f t="shared" si="20"/>
        <v>11</v>
      </c>
    </row>
    <row r="320" spans="1:16" x14ac:dyDescent="0.3">
      <c r="A320" t="s">
        <v>442</v>
      </c>
      <c r="B320" s="5">
        <v>46276</v>
      </c>
      <c r="C320" t="s">
        <v>150</v>
      </c>
      <c r="D320" t="s">
        <v>95</v>
      </c>
      <c r="E320">
        <v>2500</v>
      </c>
      <c r="F320" t="s">
        <v>92</v>
      </c>
      <c r="G320" t="s">
        <v>73</v>
      </c>
      <c r="H320" t="s">
        <v>81</v>
      </c>
      <c r="I320" t="str">
        <f t="shared" si="17"/>
        <v>2026-09</v>
      </c>
      <c r="J320" t="str">
        <f ca="1">IFERROR(_xludf.XLOOKUP(C320,'Agent Master'!$A:$A,'Agent Master'!$B:$B,"Missing"),"Missing")</f>
        <v>Missing</v>
      </c>
      <c r="K320" t="str">
        <f ca="1">IFERROR(_xludf.XLOOKUP(C320,'Agent Master'!$A:$A,'Agent Master'!$C:$C,"Missing"),"Missing")</f>
        <v>Missing</v>
      </c>
      <c r="L320" t="str">
        <f t="shared" si="18"/>
        <v>September</v>
      </c>
      <c r="M320" t="str">
        <f>_xlfn.XLOOKUP('Transaction Data'!D320,ProductMap[Product Code],ProductMap[Product Name])</f>
        <v>BBPS</v>
      </c>
      <c r="N320" t="str">
        <f t="shared" si="19"/>
        <v>2026-09</v>
      </c>
      <c r="O320" t="str" cm="1">
        <f t="array" ref="O320">IFERROR(_xlfn.XLOOKUP(C320,AgentMaster[[#All],[Agent ID]],AgentMaster[[#All],[Agent Name]]),"")</f>
        <v>Agent 114</v>
      </c>
      <c r="P320">
        <f t="shared" si="20"/>
        <v>8</v>
      </c>
    </row>
    <row r="321" spans="1:16" x14ac:dyDescent="0.3">
      <c r="A321" t="s">
        <v>443</v>
      </c>
      <c r="B321" s="5">
        <v>46266</v>
      </c>
      <c r="C321" t="s">
        <v>98</v>
      </c>
      <c r="D321" t="s">
        <v>95</v>
      </c>
      <c r="E321">
        <v>1500</v>
      </c>
      <c r="F321" t="s">
        <v>72</v>
      </c>
      <c r="G321" t="s">
        <v>84</v>
      </c>
      <c r="H321" t="s">
        <v>74</v>
      </c>
      <c r="I321" t="str">
        <f t="shared" si="17"/>
        <v>2026-09</v>
      </c>
      <c r="J321" t="str">
        <f ca="1">IFERROR(_xludf.XLOOKUP(C321,'Agent Master'!$A:$A,'Agent Master'!$B:$B,"Missing"),"Missing")</f>
        <v>Missing</v>
      </c>
      <c r="K321" t="str">
        <f ca="1">IFERROR(_xludf.XLOOKUP(C321,'Agent Master'!$A:$A,'Agent Master'!$C:$C,"Missing"),"Missing")</f>
        <v>Missing</v>
      </c>
      <c r="L321" t="str">
        <f t="shared" si="18"/>
        <v>September</v>
      </c>
      <c r="M321" t="str">
        <f>_xlfn.XLOOKUP('Transaction Data'!D321,ProductMap[Product Code],ProductMap[Product Name])</f>
        <v>BBPS</v>
      </c>
      <c r="N321" t="str">
        <f t="shared" si="19"/>
        <v>2026-09</v>
      </c>
      <c r="O321" t="str" cm="1">
        <f t="array" ref="O321">IFERROR(_xlfn.XLOOKUP(C321,AgentMaster[[#All],[Agent ID]],AgentMaster[[#All],[Agent Name]]),"")</f>
        <v/>
      </c>
      <c r="P321">
        <f t="shared" si="20"/>
        <v>25</v>
      </c>
    </row>
    <row r="322" spans="1:16" x14ac:dyDescent="0.3">
      <c r="A322" t="s">
        <v>444</v>
      </c>
      <c r="B322" s="5">
        <v>46286</v>
      </c>
      <c r="C322" t="s">
        <v>141</v>
      </c>
      <c r="D322" t="s">
        <v>87</v>
      </c>
      <c r="E322">
        <v>5000</v>
      </c>
      <c r="F322" t="s">
        <v>72</v>
      </c>
      <c r="G322" t="s">
        <v>73</v>
      </c>
      <c r="H322" t="s">
        <v>81</v>
      </c>
      <c r="I322" t="str">
        <f t="shared" ref="I322:I385" si="21">TEXT(B322,"yyyy-mm")</f>
        <v>2026-09</v>
      </c>
      <c r="J322" t="str">
        <f ca="1">IFERROR(_xludf.XLOOKUP(C322,'Agent Master'!$A:$A,'Agent Master'!$B:$B,"Missing"),"Missing")</f>
        <v>Missing</v>
      </c>
      <c r="K322" t="str">
        <f ca="1">IFERROR(_xludf.XLOOKUP(C322,'Agent Master'!$A:$A,'Agent Master'!$C:$C,"Missing"),"Missing")</f>
        <v>Missing</v>
      </c>
      <c r="L322" t="str">
        <f t="shared" si="18"/>
        <v>September</v>
      </c>
      <c r="M322" t="str">
        <f>_xlfn.XLOOKUP('Transaction Data'!D322,ProductMap[Product Code],ProductMap[Product Name])</f>
        <v>APAY</v>
      </c>
      <c r="N322" t="str">
        <f t="shared" si="19"/>
        <v>2026-09</v>
      </c>
      <c r="O322" t="str" cm="1">
        <f t="array" ref="O322">IFERROR(_xlfn.XLOOKUP(C322,AgentMaster[[#All],[Agent ID]],AgentMaster[[#All],[Agent Name]]),"")</f>
        <v>Agent 126</v>
      </c>
      <c r="P322">
        <f t="shared" si="20"/>
        <v>11</v>
      </c>
    </row>
    <row r="323" spans="1:16" x14ac:dyDescent="0.3">
      <c r="A323" t="s">
        <v>445</v>
      </c>
      <c r="B323" s="5">
        <v>46245</v>
      </c>
      <c r="C323" t="s">
        <v>172</v>
      </c>
      <c r="D323" t="s">
        <v>110</v>
      </c>
      <c r="E323">
        <v>5000</v>
      </c>
      <c r="F323" t="s">
        <v>72</v>
      </c>
      <c r="G323" t="s">
        <v>73</v>
      </c>
      <c r="H323" t="s">
        <v>96</v>
      </c>
      <c r="I323" t="str">
        <f t="shared" si="21"/>
        <v>2026-08</v>
      </c>
      <c r="J323" t="str">
        <f ca="1">IFERROR(_xludf.XLOOKUP(C323,'Agent Master'!$A:$A,'Agent Master'!$B:$B,"Missing"),"Missing")</f>
        <v>Missing</v>
      </c>
      <c r="K323" t="str">
        <f ca="1">IFERROR(_xludf.XLOOKUP(C323,'Agent Master'!$A:$A,'Agent Master'!$C:$C,"Missing"),"Missing")</f>
        <v>Missing</v>
      </c>
      <c r="L323" t="str">
        <f t="shared" ref="L323:L386" si="22">TEXT(B323,"mmmm")</f>
        <v>August</v>
      </c>
      <c r="M323" t="str">
        <f>_xlfn.XLOOKUP('Transaction Data'!D323,ProductMap[Product Code],ProductMap[Product Name])</f>
        <v>DMT</v>
      </c>
      <c r="N323" t="str">
        <f t="shared" ref="N323:N386" si="23">TEXT(B323,"yyyy-mm")</f>
        <v>2026-08</v>
      </c>
      <c r="O323" t="str" cm="1">
        <f t="array" ref="O323">IFERROR(_xlfn.XLOOKUP(C323,AgentMaster[[#All],[Agent ID]],AgentMaster[[#All],[Agent Name]]),"")</f>
        <v>Agent 129</v>
      </c>
      <c r="P323">
        <f t="shared" ref="P323:P386" si="24">COUNTIFS(O:O,O323,F:F,"Success")</f>
        <v>18</v>
      </c>
    </row>
    <row r="324" spans="1:16" x14ac:dyDescent="0.3">
      <c r="A324" t="s">
        <v>446</v>
      </c>
      <c r="B324" s="5">
        <v>46273</v>
      </c>
      <c r="C324" t="s">
        <v>204</v>
      </c>
      <c r="D324" t="s">
        <v>87</v>
      </c>
      <c r="E324">
        <v>15000</v>
      </c>
      <c r="F324" t="s">
        <v>72</v>
      </c>
      <c r="G324" t="s">
        <v>73</v>
      </c>
      <c r="H324" t="s">
        <v>96</v>
      </c>
      <c r="I324" t="str">
        <f t="shared" si="21"/>
        <v>2026-09</v>
      </c>
      <c r="J324" t="str">
        <f ca="1">IFERROR(_xludf.XLOOKUP(C324,'Agent Master'!$A:$A,'Agent Master'!$B:$B,"Missing"),"Missing")</f>
        <v>Missing</v>
      </c>
      <c r="K324" t="str">
        <f ca="1">IFERROR(_xludf.XLOOKUP(C324,'Agent Master'!$A:$A,'Agent Master'!$C:$C,"Missing"),"Missing")</f>
        <v>Missing</v>
      </c>
      <c r="L324" t="str">
        <f t="shared" si="22"/>
        <v>September</v>
      </c>
      <c r="M324" t="str">
        <f>_xlfn.XLOOKUP('Transaction Data'!D324,ProductMap[Product Code],ProductMap[Product Name])</f>
        <v>APAY</v>
      </c>
      <c r="N324" t="str">
        <f t="shared" si="23"/>
        <v>2026-09</v>
      </c>
      <c r="O324" t="str" cm="1">
        <f t="array" ref="O324">IFERROR(_xlfn.XLOOKUP(C324,AgentMaster[[#All],[Agent ID]],AgentMaster[[#All],[Agent Name]]),"")</f>
        <v>Agent 110</v>
      </c>
      <c r="P324">
        <f t="shared" si="24"/>
        <v>17</v>
      </c>
    </row>
    <row r="325" spans="1:16" x14ac:dyDescent="0.3">
      <c r="A325" t="s">
        <v>447</v>
      </c>
      <c r="B325" s="5">
        <v>46260</v>
      </c>
      <c r="C325" t="s">
        <v>161</v>
      </c>
      <c r="D325" t="s">
        <v>87</v>
      </c>
      <c r="E325">
        <v>7500</v>
      </c>
      <c r="F325" t="s">
        <v>72</v>
      </c>
      <c r="G325" t="s">
        <v>73</v>
      </c>
      <c r="H325" t="s">
        <v>96</v>
      </c>
      <c r="I325" t="str">
        <f t="shared" si="21"/>
        <v>2026-08</v>
      </c>
      <c r="J325" t="str">
        <f ca="1">IFERROR(_xludf.XLOOKUP(C325,'Agent Master'!$A:$A,'Agent Master'!$B:$B,"Missing"),"Missing")</f>
        <v>Missing</v>
      </c>
      <c r="K325" t="str">
        <f ca="1">IFERROR(_xludf.XLOOKUP(C325,'Agent Master'!$A:$A,'Agent Master'!$C:$C,"Missing"),"Missing")</f>
        <v>Missing</v>
      </c>
      <c r="L325" t="str">
        <f t="shared" si="22"/>
        <v>August</v>
      </c>
      <c r="M325" t="str">
        <f>_xlfn.XLOOKUP('Transaction Data'!D325,ProductMap[Product Code],ProductMap[Product Name])</f>
        <v>APAY</v>
      </c>
      <c r="N325" t="str">
        <f t="shared" si="23"/>
        <v>2026-08</v>
      </c>
      <c r="O325" t="str" cm="1">
        <f t="array" ref="O325">IFERROR(_xlfn.XLOOKUP(C325,AgentMaster[[#All],[Agent ID]],AgentMaster[[#All],[Agent Name]]),"")</f>
        <v>Agent 109</v>
      </c>
      <c r="P325">
        <f t="shared" si="24"/>
        <v>16</v>
      </c>
    </row>
    <row r="326" spans="1:16" x14ac:dyDescent="0.3">
      <c r="A326" t="s">
        <v>448</v>
      </c>
      <c r="B326" s="5">
        <v>46250</v>
      </c>
      <c r="C326" t="s">
        <v>94</v>
      </c>
      <c r="D326" t="s">
        <v>71</v>
      </c>
      <c r="E326">
        <v>1500</v>
      </c>
      <c r="F326" t="s">
        <v>72</v>
      </c>
      <c r="G326" t="s">
        <v>73</v>
      </c>
      <c r="H326" t="s">
        <v>74</v>
      </c>
      <c r="I326" t="str">
        <f t="shared" si="21"/>
        <v>2026-08</v>
      </c>
      <c r="J326" t="str">
        <f ca="1">IFERROR(_xludf.XLOOKUP(C326,'Agent Master'!$A:$A,'Agent Master'!$B:$B,"Missing"),"Missing")</f>
        <v>Missing</v>
      </c>
      <c r="K326" t="str">
        <f ca="1">IFERROR(_xludf.XLOOKUP(C326,'Agent Master'!$A:$A,'Agent Master'!$C:$C,"Missing"),"Missing")</f>
        <v>Missing</v>
      </c>
      <c r="L326" t="str">
        <f t="shared" si="22"/>
        <v>August</v>
      </c>
      <c r="M326" t="str">
        <f>_xlfn.XLOOKUP('Transaction Data'!D326,ProductMap[Product Code],ProductMap[Product Name])</f>
        <v>AEPS</v>
      </c>
      <c r="N326" t="str">
        <f t="shared" si="23"/>
        <v>2026-08</v>
      </c>
      <c r="O326" t="str" cm="1">
        <f t="array" ref="O326">IFERROR(_xlfn.XLOOKUP(C326,AgentMaster[[#All],[Agent ID]],AgentMaster[[#All],[Agent Name]]),"")</f>
        <v>Agent 130</v>
      </c>
      <c r="P326">
        <f t="shared" si="24"/>
        <v>16</v>
      </c>
    </row>
    <row r="327" spans="1:16" x14ac:dyDescent="0.3">
      <c r="A327" t="s">
        <v>449</v>
      </c>
      <c r="B327" s="5">
        <v>46241</v>
      </c>
      <c r="C327" t="s">
        <v>152</v>
      </c>
      <c r="D327" t="s">
        <v>87</v>
      </c>
      <c r="E327">
        <v>2500</v>
      </c>
      <c r="F327" t="s">
        <v>92</v>
      </c>
      <c r="G327" t="s">
        <v>84</v>
      </c>
      <c r="H327" t="s">
        <v>74</v>
      </c>
      <c r="I327" t="str">
        <f t="shared" si="21"/>
        <v>2026-08</v>
      </c>
      <c r="J327" t="str">
        <f ca="1">IFERROR(_xludf.XLOOKUP(C327,'Agent Master'!$A:$A,'Agent Master'!$B:$B,"Missing"),"Missing")</f>
        <v>Missing</v>
      </c>
      <c r="K327" t="str">
        <f ca="1">IFERROR(_xludf.XLOOKUP(C327,'Agent Master'!$A:$A,'Agent Master'!$C:$C,"Missing"),"Missing")</f>
        <v>Missing</v>
      </c>
      <c r="L327" t="str">
        <f t="shared" si="22"/>
        <v>August</v>
      </c>
      <c r="M327" t="str">
        <f>_xlfn.XLOOKUP('Transaction Data'!D327,ProductMap[Product Code],ProductMap[Product Name])</f>
        <v>APAY</v>
      </c>
      <c r="N327" t="str">
        <f t="shared" si="23"/>
        <v>2026-08</v>
      </c>
      <c r="O327" t="str" cm="1">
        <f t="array" ref="O327">IFERROR(_xlfn.XLOOKUP(C327,AgentMaster[[#All],[Agent ID]],AgentMaster[[#All],[Agent Name]]),"")</f>
        <v>Agent 104</v>
      </c>
      <c r="P327">
        <f t="shared" si="24"/>
        <v>6</v>
      </c>
    </row>
    <row r="328" spans="1:16" x14ac:dyDescent="0.3">
      <c r="A328" t="s">
        <v>450</v>
      </c>
      <c r="B328" s="5">
        <v>46290</v>
      </c>
      <c r="C328" t="s">
        <v>199</v>
      </c>
      <c r="D328" t="s">
        <v>87</v>
      </c>
      <c r="E328">
        <v>10000</v>
      </c>
      <c r="F328" t="s">
        <v>72</v>
      </c>
      <c r="G328" t="s">
        <v>73</v>
      </c>
      <c r="H328" t="s">
        <v>74</v>
      </c>
      <c r="I328" t="str">
        <f t="shared" si="21"/>
        <v>2026-09</v>
      </c>
      <c r="J328" t="str">
        <f ca="1">IFERROR(_xludf.XLOOKUP(C328,'Agent Master'!$A:$A,'Agent Master'!$B:$B,"Missing"),"Missing")</f>
        <v>Missing</v>
      </c>
      <c r="K328" t="str">
        <f ca="1">IFERROR(_xludf.XLOOKUP(C328,'Agent Master'!$A:$A,'Agent Master'!$C:$C,"Missing"),"Missing")</f>
        <v>Missing</v>
      </c>
      <c r="L328" t="str">
        <f t="shared" si="22"/>
        <v>September</v>
      </c>
      <c r="M328" t="str">
        <f>_xlfn.XLOOKUP('Transaction Data'!D328,ProductMap[Product Code],ProductMap[Product Name])</f>
        <v>APAY</v>
      </c>
      <c r="N328" t="str">
        <f t="shared" si="23"/>
        <v>2026-09</v>
      </c>
      <c r="O328" t="str" cm="1">
        <f t="array" ref="O328">IFERROR(_xlfn.XLOOKUP(C328,AgentMaster[[#All],[Agent ID]],AgentMaster[[#All],[Agent Name]]),"")</f>
        <v>Agent 111</v>
      </c>
      <c r="P328">
        <f t="shared" si="24"/>
        <v>8</v>
      </c>
    </row>
    <row r="329" spans="1:16" x14ac:dyDescent="0.3">
      <c r="A329" t="s">
        <v>451</v>
      </c>
      <c r="B329" s="5">
        <v>46266</v>
      </c>
      <c r="C329" t="s">
        <v>154</v>
      </c>
      <c r="D329" t="s">
        <v>110</v>
      </c>
      <c r="E329">
        <v>5000</v>
      </c>
      <c r="F329" t="s">
        <v>72</v>
      </c>
      <c r="G329" t="s">
        <v>84</v>
      </c>
      <c r="H329" t="s">
        <v>81</v>
      </c>
      <c r="I329" t="str">
        <f t="shared" si="21"/>
        <v>2026-09</v>
      </c>
      <c r="J329" t="str">
        <f ca="1">IFERROR(_xludf.XLOOKUP(C329,'Agent Master'!$A:$A,'Agent Master'!$B:$B,"Missing"),"Missing")</f>
        <v>Missing</v>
      </c>
      <c r="K329" t="str">
        <f ca="1">IFERROR(_xludf.XLOOKUP(C329,'Agent Master'!$A:$A,'Agent Master'!$C:$C,"Missing"),"Missing")</f>
        <v>Missing</v>
      </c>
      <c r="L329" t="str">
        <f t="shared" si="22"/>
        <v>September</v>
      </c>
      <c r="M329" t="str">
        <f>_xlfn.XLOOKUP('Transaction Data'!D329,ProductMap[Product Code],ProductMap[Product Name])</f>
        <v>DMT</v>
      </c>
      <c r="N329" t="str">
        <f t="shared" si="23"/>
        <v>2026-09</v>
      </c>
      <c r="O329" t="str" cm="1">
        <f t="array" ref="O329">IFERROR(_xlfn.XLOOKUP(C329,AgentMaster[[#All],[Agent ID]],AgentMaster[[#All],[Agent Name]]),"")</f>
        <v>Agent 133</v>
      </c>
      <c r="P329">
        <f t="shared" si="24"/>
        <v>9</v>
      </c>
    </row>
    <row r="330" spans="1:16" x14ac:dyDescent="0.3">
      <c r="A330" t="s">
        <v>452</v>
      </c>
      <c r="B330" s="5">
        <v>46240</v>
      </c>
      <c r="C330" t="s">
        <v>141</v>
      </c>
      <c r="D330" t="s">
        <v>95</v>
      </c>
      <c r="E330">
        <v>5000</v>
      </c>
      <c r="F330" t="s">
        <v>72</v>
      </c>
      <c r="G330" t="s">
        <v>73</v>
      </c>
      <c r="H330" t="s">
        <v>96</v>
      </c>
      <c r="I330" t="str">
        <f t="shared" si="21"/>
        <v>2026-08</v>
      </c>
      <c r="J330" t="str">
        <f ca="1">IFERROR(_xludf.XLOOKUP(C330,'Agent Master'!$A:$A,'Agent Master'!$B:$B,"Missing"),"Missing")</f>
        <v>Missing</v>
      </c>
      <c r="K330" t="str">
        <f ca="1">IFERROR(_xludf.XLOOKUP(C330,'Agent Master'!$A:$A,'Agent Master'!$C:$C,"Missing"),"Missing")</f>
        <v>Missing</v>
      </c>
      <c r="L330" t="str">
        <f t="shared" si="22"/>
        <v>August</v>
      </c>
      <c r="M330" t="str">
        <f>_xlfn.XLOOKUP('Transaction Data'!D330,ProductMap[Product Code],ProductMap[Product Name])</f>
        <v>BBPS</v>
      </c>
      <c r="N330" t="str">
        <f t="shared" si="23"/>
        <v>2026-08</v>
      </c>
      <c r="O330" t="str" cm="1">
        <f t="array" ref="O330">IFERROR(_xlfn.XLOOKUP(C330,AgentMaster[[#All],[Agent ID]],AgentMaster[[#All],[Agent Name]]),"")</f>
        <v>Agent 126</v>
      </c>
      <c r="P330">
        <f t="shared" si="24"/>
        <v>11</v>
      </c>
    </row>
    <row r="331" spans="1:16" x14ac:dyDescent="0.3">
      <c r="A331" t="s">
        <v>453</v>
      </c>
      <c r="B331" s="5">
        <v>46238</v>
      </c>
      <c r="C331" t="s">
        <v>152</v>
      </c>
      <c r="D331" t="s">
        <v>87</v>
      </c>
      <c r="E331">
        <v>5000</v>
      </c>
      <c r="F331" t="s">
        <v>92</v>
      </c>
      <c r="G331" t="s">
        <v>73</v>
      </c>
      <c r="H331" t="s">
        <v>78</v>
      </c>
      <c r="I331" t="str">
        <f t="shared" si="21"/>
        <v>2026-08</v>
      </c>
      <c r="J331" t="str">
        <f ca="1">IFERROR(_xludf.XLOOKUP(C331,'Agent Master'!$A:$A,'Agent Master'!$B:$B,"Missing"),"Missing")</f>
        <v>Missing</v>
      </c>
      <c r="K331" t="str">
        <f ca="1">IFERROR(_xludf.XLOOKUP(C331,'Agent Master'!$A:$A,'Agent Master'!$C:$C,"Missing"),"Missing")</f>
        <v>Missing</v>
      </c>
      <c r="L331" t="str">
        <f t="shared" si="22"/>
        <v>August</v>
      </c>
      <c r="M331" t="str">
        <f>_xlfn.XLOOKUP('Transaction Data'!D331,ProductMap[Product Code],ProductMap[Product Name])</f>
        <v>APAY</v>
      </c>
      <c r="N331" t="str">
        <f t="shared" si="23"/>
        <v>2026-08</v>
      </c>
      <c r="O331" t="str" cm="1">
        <f t="array" ref="O331">IFERROR(_xlfn.XLOOKUP(C331,AgentMaster[[#All],[Agent ID]],AgentMaster[[#All],[Agent Name]]),"")</f>
        <v>Agent 104</v>
      </c>
      <c r="P331">
        <f t="shared" si="24"/>
        <v>6</v>
      </c>
    </row>
    <row r="332" spans="1:16" x14ac:dyDescent="0.3">
      <c r="A332" t="s">
        <v>454</v>
      </c>
      <c r="B332" s="5">
        <v>46253</v>
      </c>
      <c r="C332" t="s">
        <v>129</v>
      </c>
      <c r="D332" t="s">
        <v>71</v>
      </c>
      <c r="E332">
        <v>500</v>
      </c>
      <c r="F332" t="s">
        <v>72</v>
      </c>
      <c r="G332" t="s">
        <v>73</v>
      </c>
      <c r="H332" t="s">
        <v>96</v>
      </c>
      <c r="I332" t="str">
        <f t="shared" si="21"/>
        <v>2026-08</v>
      </c>
      <c r="J332" t="str">
        <f ca="1">IFERROR(_xludf.XLOOKUP(C332,'Agent Master'!$A:$A,'Agent Master'!$B:$B,"Missing"),"Missing")</f>
        <v>Missing</v>
      </c>
      <c r="K332" t="str">
        <f ca="1">IFERROR(_xludf.XLOOKUP(C332,'Agent Master'!$A:$A,'Agent Master'!$C:$C,"Missing"),"Missing")</f>
        <v>Missing</v>
      </c>
      <c r="L332" t="str">
        <f t="shared" si="22"/>
        <v>August</v>
      </c>
      <c r="M332" t="str">
        <f>_xlfn.XLOOKUP('Transaction Data'!D332,ProductMap[Product Code],ProductMap[Product Name])</f>
        <v>AEPS</v>
      </c>
      <c r="N332" t="str">
        <f t="shared" si="23"/>
        <v>2026-08</v>
      </c>
      <c r="O332" t="str" cm="1">
        <f t="array" ref="O332">IFERROR(_xlfn.XLOOKUP(C332,AgentMaster[[#All],[Agent ID]],AgentMaster[[#All],[Agent Name]]),"")</f>
        <v>Agent 135</v>
      </c>
      <c r="P332">
        <f t="shared" si="24"/>
        <v>19</v>
      </c>
    </row>
    <row r="333" spans="1:16" x14ac:dyDescent="0.3">
      <c r="A333" t="s">
        <v>455</v>
      </c>
      <c r="B333" s="5">
        <v>46281</v>
      </c>
      <c r="C333" t="s">
        <v>122</v>
      </c>
      <c r="D333" t="s">
        <v>110</v>
      </c>
      <c r="E333">
        <v>2000</v>
      </c>
      <c r="F333" t="s">
        <v>72</v>
      </c>
      <c r="G333" t="s">
        <v>84</v>
      </c>
      <c r="H333" t="s">
        <v>81</v>
      </c>
      <c r="I333" t="str">
        <f t="shared" si="21"/>
        <v>2026-09</v>
      </c>
      <c r="J333" t="str">
        <f ca="1">IFERROR(_xludf.XLOOKUP(C333,'Agent Master'!$A:$A,'Agent Master'!$B:$B,"Missing"),"Missing")</f>
        <v>Missing</v>
      </c>
      <c r="K333" t="str">
        <f ca="1">IFERROR(_xludf.XLOOKUP(C333,'Agent Master'!$A:$A,'Agent Master'!$C:$C,"Missing"),"Missing")</f>
        <v>Missing</v>
      </c>
      <c r="L333" t="str">
        <f t="shared" si="22"/>
        <v>September</v>
      </c>
      <c r="M333" t="str">
        <f>_xlfn.XLOOKUP('Transaction Data'!D333,ProductMap[Product Code],ProductMap[Product Name])</f>
        <v>DMT</v>
      </c>
      <c r="N333" t="str">
        <f t="shared" si="23"/>
        <v>2026-09</v>
      </c>
      <c r="O333" t="str" cm="1">
        <f t="array" ref="O333">IFERROR(_xlfn.XLOOKUP(C333,AgentMaster[[#All],[Agent ID]],AgentMaster[[#All],[Agent Name]]),"")</f>
        <v>Agent 124</v>
      </c>
      <c r="P333">
        <f t="shared" si="24"/>
        <v>11</v>
      </c>
    </row>
    <row r="334" spans="1:16" x14ac:dyDescent="0.3">
      <c r="A334" t="s">
        <v>456</v>
      </c>
      <c r="B334" s="5">
        <v>46271</v>
      </c>
      <c r="C334" t="s">
        <v>112</v>
      </c>
      <c r="D334" t="s">
        <v>90</v>
      </c>
      <c r="E334">
        <v>2000</v>
      </c>
      <c r="F334" t="s">
        <v>72</v>
      </c>
      <c r="G334" t="s">
        <v>84</v>
      </c>
      <c r="H334" t="s">
        <v>81</v>
      </c>
      <c r="I334" t="str">
        <f t="shared" si="21"/>
        <v>2026-09</v>
      </c>
      <c r="J334" t="str">
        <f ca="1">IFERROR(_xludf.XLOOKUP(C334,'Agent Master'!$A:$A,'Agent Master'!$B:$B,"Missing"),"Missing")</f>
        <v>Missing</v>
      </c>
      <c r="K334" t="str">
        <f ca="1">IFERROR(_xludf.XLOOKUP(C334,'Agent Master'!$A:$A,'Agent Master'!$C:$C,"Missing"),"Missing")</f>
        <v>Missing</v>
      </c>
      <c r="L334" t="str">
        <f t="shared" si="22"/>
        <v>September</v>
      </c>
      <c r="M334" t="str">
        <f>_xlfn.XLOOKUP('Transaction Data'!D334,ProductMap[Product Code],ProductMap[Product Name])</f>
        <v>UPI</v>
      </c>
      <c r="N334" t="str">
        <f t="shared" si="23"/>
        <v>2026-09</v>
      </c>
      <c r="O334" t="str" cm="1">
        <f t="array" ref="O334">IFERROR(_xlfn.XLOOKUP(C334,AgentMaster[[#All],[Agent ID]],AgentMaster[[#All],[Agent Name]]),"")</f>
        <v>Agent 136</v>
      </c>
      <c r="P334">
        <f t="shared" si="24"/>
        <v>16</v>
      </c>
    </row>
    <row r="335" spans="1:16" x14ac:dyDescent="0.3">
      <c r="A335" t="s">
        <v>457</v>
      </c>
      <c r="B335" s="5">
        <v>46259</v>
      </c>
      <c r="C335" t="s">
        <v>154</v>
      </c>
      <c r="D335" t="s">
        <v>110</v>
      </c>
      <c r="E335">
        <v>20000</v>
      </c>
      <c r="F335" t="s">
        <v>72</v>
      </c>
      <c r="G335" t="s">
        <v>84</v>
      </c>
      <c r="H335" t="s">
        <v>81</v>
      </c>
      <c r="I335" t="str">
        <f t="shared" si="21"/>
        <v>2026-08</v>
      </c>
      <c r="J335" t="str">
        <f ca="1">IFERROR(_xludf.XLOOKUP(C335,'Agent Master'!$A:$A,'Agent Master'!$B:$B,"Missing"),"Missing")</f>
        <v>Missing</v>
      </c>
      <c r="K335" t="str">
        <f ca="1">IFERROR(_xludf.XLOOKUP(C335,'Agent Master'!$A:$A,'Agent Master'!$C:$C,"Missing"),"Missing")</f>
        <v>Missing</v>
      </c>
      <c r="L335" t="str">
        <f t="shared" si="22"/>
        <v>August</v>
      </c>
      <c r="M335" t="str">
        <f>_xlfn.XLOOKUP('Transaction Data'!D335,ProductMap[Product Code],ProductMap[Product Name])</f>
        <v>DMT</v>
      </c>
      <c r="N335" t="str">
        <f t="shared" si="23"/>
        <v>2026-08</v>
      </c>
      <c r="O335" t="str" cm="1">
        <f t="array" ref="O335">IFERROR(_xlfn.XLOOKUP(C335,AgentMaster[[#All],[Agent ID]],AgentMaster[[#All],[Agent Name]]),"")</f>
        <v>Agent 133</v>
      </c>
      <c r="P335">
        <f t="shared" si="24"/>
        <v>9</v>
      </c>
    </row>
    <row r="336" spans="1:16" x14ac:dyDescent="0.3">
      <c r="A336" t="s">
        <v>458</v>
      </c>
      <c r="B336" s="5">
        <v>46243</v>
      </c>
      <c r="C336" t="s">
        <v>76</v>
      </c>
      <c r="D336" t="s">
        <v>110</v>
      </c>
      <c r="E336">
        <v>2000</v>
      </c>
      <c r="F336" t="s">
        <v>72</v>
      </c>
      <c r="G336" t="s">
        <v>73</v>
      </c>
      <c r="H336" t="s">
        <v>96</v>
      </c>
      <c r="I336" t="str">
        <f t="shared" si="21"/>
        <v>2026-08</v>
      </c>
      <c r="J336" t="str">
        <f ca="1">IFERROR(_xludf.XLOOKUP(C336,'Agent Master'!$A:$A,'Agent Master'!$B:$B,"Missing"),"Missing")</f>
        <v>Missing</v>
      </c>
      <c r="K336" t="str">
        <f ca="1">IFERROR(_xludf.XLOOKUP(C336,'Agent Master'!$A:$A,'Agent Master'!$C:$C,"Missing"),"Missing")</f>
        <v>Missing</v>
      </c>
      <c r="L336" t="str">
        <f t="shared" si="22"/>
        <v>August</v>
      </c>
      <c r="M336" t="str">
        <f>_xlfn.XLOOKUP('Transaction Data'!D336,ProductMap[Product Code],ProductMap[Product Name])</f>
        <v>DMT</v>
      </c>
      <c r="N336" t="str">
        <f t="shared" si="23"/>
        <v>2026-08</v>
      </c>
      <c r="O336" t="str" cm="1">
        <f t="array" ref="O336">IFERROR(_xlfn.XLOOKUP(C336,AgentMaster[[#All],[Agent ID]],AgentMaster[[#All],[Agent Name]]),"")</f>
        <v>Agent 107</v>
      </c>
      <c r="P336">
        <f t="shared" si="24"/>
        <v>16</v>
      </c>
    </row>
    <row r="337" spans="1:16" x14ac:dyDescent="0.3">
      <c r="A337" t="s">
        <v>459</v>
      </c>
      <c r="B337" s="5">
        <v>46283</v>
      </c>
      <c r="C337" t="s">
        <v>204</v>
      </c>
      <c r="D337" t="s">
        <v>90</v>
      </c>
      <c r="E337">
        <v>10000</v>
      </c>
      <c r="F337" t="s">
        <v>72</v>
      </c>
      <c r="G337" t="s">
        <v>84</v>
      </c>
      <c r="H337" t="s">
        <v>81</v>
      </c>
      <c r="I337" t="str">
        <f t="shared" si="21"/>
        <v>2026-09</v>
      </c>
      <c r="J337" t="str">
        <f ca="1">IFERROR(_xludf.XLOOKUP(C337,'Agent Master'!$A:$A,'Agent Master'!$B:$B,"Missing"),"Missing")</f>
        <v>Missing</v>
      </c>
      <c r="K337" t="str">
        <f ca="1">IFERROR(_xludf.XLOOKUP(C337,'Agent Master'!$A:$A,'Agent Master'!$C:$C,"Missing"),"Missing")</f>
        <v>Missing</v>
      </c>
      <c r="L337" t="str">
        <f t="shared" si="22"/>
        <v>September</v>
      </c>
      <c r="M337" t="str">
        <f>_xlfn.XLOOKUP('Transaction Data'!D337,ProductMap[Product Code],ProductMap[Product Name])</f>
        <v>UPI</v>
      </c>
      <c r="N337" t="str">
        <f t="shared" si="23"/>
        <v>2026-09</v>
      </c>
      <c r="O337" t="str" cm="1">
        <f t="array" ref="O337">IFERROR(_xlfn.XLOOKUP(C337,AgentMaster[[#All],[Agent ID]],AgentMaster[[#All],[Agent Name]]),"")</f>
        <v>Agent 110</v>
      </c>
      <c r="P337">
        <f t="shared" si="24"/>
        <v>17</v>
      </c>
    </row>
    <row r="338" spans="1:16" x14ac:dyDescent="0.3">
      <c r="A338" t="s">
        <v>460</v>
      </c>
      <c r="B338" s="5">
        <v>46237</v>
      </c>
      <c r="C338" t="s">
        <v>134</v>
      </c>
      <c r="D338" t="s">
        <v>90</v>
      </c>
      <c r="E338">
        <v>15000</v>
      </c>
      <c r="F338" t="s">
        <v>72</v>
      </c>
      <c r="G338" t="s">
        <v>84</v>
      </c>
      <c r="H338" t="s">
        <v>78</v>
      </c>
      <c r="I338" t="str">
        <f t="shared" si="21"/>
        <v>2026-08</v>
      </c>
      <c r="J338" t="str">
        <f ca="1">IFERROR(_xludf.XLOOKUP(C338,'Agent Master'!$A:$A,'Agent Master'!$B:$B,"Missing"),"Missing")</f>
        <v>Missing</v>
      </c>
      <c r="K338" t="str">
        <f ca="1">IFERROR(_xludf.XLOOKUP(C338,'Agent Master'!$A:$A,'Agent Master'!$C:$C,"Missing"),"Missing")</f>
        <v>Missing</v>
      </c>
      <c r="L338" t="str">
        <f t="shared" si="22"/>
        <v>August</v>
      </c>
      <c r="M338" t="str">
        <f>_xlfn.XLOOKUP('Transaction Data'!D338,ProductMap[Product Code],ProductMap[Product Name])</f>
        <v>UPI</v>
      </c>
      <c r="N338" t="str">
        <f t="shared" si="23"/>
        <v>2026-08</v>
      </c>
      <c r="O338" t="str" cm="1">
        <f t="array" ref="O338">IFERROR(_xlfn.XLOOKUP(C338,AgentMaster[[#All],[Agent ID]],AgentMaster[[#All],[Agent Name]]),"")</f>
        <v>Agent 103</v>
      </c>
      <c r="P338">
        <f t="shared" si="24"/>
        <v>11</v>
      </c>
    </row>
    <row r="339" spans="1:16" x14ac:dyDescent="0.3">
      <c r="A339" t="s">
        <v>461</v>
      </c>
      <c r="B339" s="5">
        <v>46244</v>
      </c>
      <c r="C339" t="s">
        <v>255</v>
      </c>
      <c r="D339" t="s">
        <v>95</v>
      </c>
      <c r="E339">
        <v>750</v>
      </c>
      <c r="F339" t="s">
        <v>72</v>
      </c>
      <c r="G339" t="s">
        <v>73</v>
      </c>
      <c r="H339" t="s">
        <v>96</v>
      </c>
      <c r="I339" t="str">
        <f t="shared" si="21"/>
        <v>2026-08</v>
      </c>
      <c r="J339" t="str">
        <f ca="1">IFERROR(_xludf.XLOOKUP(C339,'Agent Master'!$A:$A,'Agent Master'!$B:$B,"Missing"),"Missing")</f>
        <v>Missing</v>
      </c>
      <c r="K339" t="str">
        <f ca="1">IFERROR(_xludf.XLOOKUP(C339,'Agent Master'!$A:$A,'Agent Master'!$C:$C,"Missing"),"Missing")</f>
        <v>Missing</v>
      </c>
      <c r="L339" t="str">
        <f t="shared" si="22"/>
        <v>August</v>
      </c>
      <c r="M339" t="str">
        <f>_xlfn.XLOOKUP('Transaction Data'!D339,ProductMap[Product Code],ProductMap[Product Name])</f>
        <v>BBPS</v>
      </c>
      <c r="N339" t="str">
        <f t="shared" si="23"/>
        <v>2026-08</v>
      </c>
      <c r="O339" t="str" cm="1">
        <f t="array" ref="O339">IFERROR(_xlfn.XLOOKUP(C339,AgentMaster[[#All],[Agent ID]],AgentMaster[[#All],[Agent Name]]),"")</f>
        <v>Agent 139</v>
      </c>
      <c r="P339">
        <f t="shared" si="24"/>
        <v>10</v>
      </c>
    </row>
    <row r="340" spans="1:16" x14ac:dyDescent="0.3">
      <c r="A340" t="s">
        <v>462</v>
      </c>
      <c r="B340" s="5">
        <v>46245</v>
      </c>
      <c r="C340" t="s">
        <v>141</v>
      </c>
      <c r="D340" t="s">
        <v>95</v>
      </c>
      <c r="E340">
        <v>15000</v>
      </c>
      <c r="F340" t="s">
        <v>72</v>
      </c>
      <c r="G340" t="s">
        <v>73</v>
      </c>
      <c r="H340" t="s">
        <v>96</v>
      </c>
      <c r="I340" t="str">
        <f t="shared" si="21"/>
        <v>2026-08</v>
      </c>
      <c r="J340" t="str">
        <f ca="1">IFERROR(_xludf.XLOOKUP(C340,'Agent Master'!$A:$A,'Agent Master'!$B:$B,"Missing"),"Missing")</f>
        <v>Missing</v>
      </c>
      <c r="K340" t="str">
        <f ca="1">IFERROR(_xludf.XLOOKUP(C340,'Agent Master'!$A:$A,'Agent Master'!$C:$C,"Missing"),"Missing")</f>
        <v>Missing</v>
      </c>
      <c r="L340" t="str">
        <f t="shared" si="22"/>
        <v>August</v>
      </c>
      <c r="M340" t="str">
        <f>_xlfn.XLOOKUP('Transaction Data'!D340,ProductMap[Product Code],ProductMap[Product Name])</f>
        <v>BBPS</v>
      </c>
      <c r="N340" t="str">
        <f t="shared" si="23"/>
        <v>2026-08</v>
      </c>
      <c r="O340" t="str" cm="1">
        <f t="array" ref="O340">IFERROR(_xlfn.XLOOKUP(C340,AgentMaster[[#All],[Agent ID]],AgentMaster[[#All],[Agent Name]]),"")</f>
        <v>Agent 126</v>
      </c>
      <c r="P340">
        <f t="shared" si="24"/>
        <v>11</v>
      </c>
    </row>
    <row r="341" spans="1:16" x14ac:dyDescent="0.3">
      <c r="A341" t="s">
        <v>463</v>
      </c>
      <c r="B341" s="5">
        <v>46267</v>
      </c>
      <c r="C341" t="s">
        <v>154</v>
      </c>
      <c r="D341" t="s">
        <v>95</v>
      </c>
      <c r="E341">
        <v>5000</v>
      </c>
      <c r="F341" t="s">
        <v>92</v>
      </c>
      <c r="G341" t="s">
        <v>84</v>
      </c>
      <c r="H341" t="s">
        <v>78</v>
      </c>
      <c r="I341" t="str">
        <f t="shared" si="21"/>
        <v>2026-09</v>
      </c>
      <c r="J341" t="str">
        <f ca="1">IFERROR(_xludf.XLOOKUP(C341,'Agent Master'!$A:$A,'Agent Master'!$B:$B,"Missing"),"Missing")</f>
        <v>Missing</v>
      </c>
      <c r="K341" t="str">
        <f ca="1">IFERROR(_xludf.XLOOKUP(C341,'Agent Master'!$A:$A,'Agent Master'!$C:$C,"Missing"),"Missing")</f>
        <v>Missing</v>
      </c>
      <c r="L341" t="str">
        <f t="shared" si="22"/>
        <v>September</v>
      </c>
      <c r="M341" t="str">
        <f>_xlfn.XLOOKUP('Transaction Data'!D341,ProductMap[Product Code],ProductMap[Product Name])</f>
        <v>BBPS</v>
      </c>
      <c r="N341" t="str">
        <f t="shared" si="23"/>
        <v>2026-09</v>
      </c>
      <c r="O341" t="str" cm="1">
        <f t="array" ref="O341">IFERROR(_xlfn.XLOOKUP(C341,AgentMaster[[#All],[Agent ID]],AgentMaster[[#All],[Agent Name]]),"")</f>
        <v>Agent 133</v>
      </c>
      <c r="P341">
        <f t="shared" si="24"/>
        <v>9</v>
      </c>
    </row>
    <row r="342" spans="1:16" x14ac:dyDescent="0.3">
      <c r="A342" t="s">
        <v>464</v>
      </c>
      <c r="B342" s="5">
        <v>46287</v>
      </c>
      <c r="C342" t="s">
        <v>80</v>
      </c>
      <c r="D342" t="s">
        <v>87</v>
      </c>
      <c r="E342">
        <v>2000</v>
      </c>
      <c r="F342" t="s">
        <v>72</v>
      </c>
      <c r="G342" t="s">
        <v>84</v>
      </c>
      <c r="H342" t="s">
        <v>96</v>
      </c>
      <c r="I342" t="str">
        <f t="shared" si="21"/>
        <v>2026-09</v>
      </c>
      <c r="J342" t="str">
        <f ca="1">IFERROR(_xludf.XLOOKUP(C342,'Agent Master'!$A:$A,'Agent Master'!$B:$B,"Missing"),"Missing")</f>
        <v>Missing</v>
      </c>
      <c r="K342" t="str">
        <f ca="1">IFERROR(_xludf.XLOOKUP(C342,'Agent Master'!$A:$A,'Agent Master'!$C:$C,"Missing"),"Missing")</f>
        <v>Missing</v>
      </c>
      <c r="L342" t="str">
        <f t="shared" si="22"/>
        <v>September</v>
      </c>
      <c r="M342" t="str">
        <f>_xlfn.XLOOKUP('Transaction Data'!D342,ProductMap[Product Code],ProductMap[Product Name])</f>
        <v>APAY</v>
      </c>
      <c r="N342" t="str">
        <f t="shared" si="23"/>
        <v>2026-09</v>
      </c>
      <c r="O342" t="str" cm="1">
        <f t="array" ref="O342">IFERROR(_xlfn.XLOOKUP(C342,AgentMaster[[#All],[Agent ID]],AgentMaster[[#All],[Agent Name]]),"")</f>
        <v>Agent 102</v>
      </c>
      <c r="P342">
        <f t="shared" si="24"/>
        <v>13</v>
      </c>
    </row>
    <row r="343" spans="1:16" x14ac:dyDescent="0.3">
      <c r="A343" t="s">
        <v>465</v>
      </c>
      <c r="B343" s="5">
        <v>46285</v>
      </c>
      <c r="C343" t="s">
        <v>98</v>
      </c>
      <c r="D343" t="s">
        <v>71</v>
      </c>
      <c r="E343">
        <v>10000</v>
      </c>
      <c r="F343" t="s">
        <v>72</v>
      </c>
      <c r="G343" t="s">
        <v>84</v>
      </c>
      <c r="H343" t="s">
        <v>74</v>
      </c>
      <c r="I343" t="str">
        <f t="shared" si="21"/>
        <v>2026-09</v>
      </c>
      <c r="J343" t="str">
        <f ca="1">IFERROR(_xludf.XLOOKUP(C343,'Agent Master'!$A:$A,'Agent Master'!$B:$B,"Missing"),"Missing")</f>
        <v>Missing</v>
      </c>
      <c r="K343" t="str">
        <f ca="1">IFERROR(_xludf.XLOOKUP(C343,'Agent Master'!$A:$A,'Agent Master'!$C:$C,"Missing"),"Missing")</f>
        <v>Missing</v>
      </c>
      <c r="L343" t="str">
        <f t="shared" si="22"/>
        <v>September</v>
      </c>
      <c r="M343" t="str">
        <f>_xlfn.XLOOKUP('Transaction Data'!D343,ProductMap[Product Code],ProductMap[Product Name])</f>
        <v>AEPS</v>
      </c>
      <c r="N343" t="str">
        <f t="shared" si="23"/>
        <v>2026-09</v>
      </c>
      <c r="O343" t="str" cm="1">
        <f t="array" ref="O343">IFERROR(_xlfn.XLOOKUP(C343,AgentMaster[[#All],[Agent ID]],AgentMaster[[#All],[Agent Name]]),"")</f>
        <v/>
      </c>
      <c r="P343">
        <f t="shared" si="24"/>
        <v>25</v>
      </c>
    </row>
    <row r="344" spans="1:16" x14ac:dyDescent="0.3">
      <c r="A344" t="s">
        <v>466</v>
      </c>
      <c r="B344" s="5">
        <v>46281</v>
      </c>
      <c r="C344" t="s">
        <v>152</v>
      </c>
      <c r="D344" t="s">
        <v>95</v>
      </c>
      <c r="E344">
        <v>5000</v>
      </c>
      <c r="F344" t="s">
        <v>72</v>
      </c>
      <c r="G344" t="s">
        <v>73</v>
      </c>
      <c r="H344" t="s">
        <v>78</v>
      </c>
      <c r="I344" t="str">
        <f t="shared" si="21"/>
        <v>2026-09</v>
      </c>
      <c r="J344" t="str">
        <f ca="1">IFERROR(_xludf.XLOOKUP(C344,'Agent Master'!$A:$A,'Agent Master'!$B:$B,"Missing"),"Missing")</f>
        <v>Missing</v>
      </c>
      <c r="K344" t="str">
        <f ca="1">IFERROR(_xludf.XLOOKUP(C344,'Agent Master'!$A:$A,'Agent Master'!$C:$C,"Missing"),"Missing")</f>
        <v>Missing</v>
      </c>
      <c r="L344" t="str">
        <f t="shared" si="22"/>
        <v>September</v>
      </c>
      <c r="M344" t="str">
        <f>_xlfn.XLOOKUP('Transaction Data'!D344,ProductMap[Product Code],ProductMap[Product Name])</f>
        <v>BBPS</v>
      </c>
      <c r="N344" t="str">
        <f t="shared" si="23"/>
        <v>2026-09</v>
      </c>
      <c r="O344" t="str" cm="1">
        <f t="array" ref="O344">IFERROR(_xlfn.XLOOKUP(C344,AgentMaster[[#All],[Agent ID]],AgentMaster[[#All],[Agent Name]]),"")</f>
        <v>Agent 104</v>
      </c>
      <c r="P344">
        <f t="shared" si="24"/>
        <v>6</v>
      </c>
    </row>
    <row r="345" spans="1:16" x14ac:dyDescent="0.3">
      <c r="A345" t="s">
        <v>467</v>
      </c>
      <c r="B345" s="5">
        <v>46244</v>
      </c>
      <c r="C345" t="s">
        <v>104</v>
      </c>
      <c r="D345" t="s">
        <v>71</v>
      </c>
      <c r="E345">
        <v>10000</v>
      </c>
      <c r="F345" t="s">
        <v>72</v>
      </c>
      <c r="G345" t="s">
        <v>73</v>
      </c>
      <c r="H345" t="s">
        <v>81</v>
      </c>
      <c r="I345" t="str">
        <f t="shared" si="21"/>
        <v>2026-08</v>
      </c>
      <c r="J345" t="str">
        <f ca="1">IFERROR(_xludf.XLOOKUP(C345,'Agent Master'!$A:$A,'Agent Master'!$B:$B,"Missing"),"Missing")</f>
        <v>Missing</v>
      </c>
      <c r="K345" t="str">
        <f ca="1">IFERROR(_xludf.XLOOKUP(C345,'Agent Master'!$A:$A,'Agent Master'!$C:$C,"Missing"),"Missing")</f>
        <v>Missing</v>
      </c>
      <c r="L345" t="str">
        <f t="shared" si="22"/>
        <v>August</v>
      </c>
      <c r="M345" t="str">
        <f>_xlfn.XLOOKUP('Transaction Data'!D345,ProductMap[Product Code],ProductMap[Product Name])</f>
        <v>AEPS</v>
      </c>
      <c r="N345" t="str">
        <f t="shared" si="23"/>
        <v>2026-08</v>
      </c>
      <c r="O345" t="str" cm="1">
        <f t="array" ref="O345">IFERROR(_xlfn.XLOOKUP(C345,AgentMaster[[#All],[Agent ID]],AgentMaster[[#All],[Agent Name]]),"")</f>
        <v>Agent 116</v>
      </c>
      <c r="P345">
        <f t="shared" si="24"/>
        <v>15</v>
      </c>
    </row>
    <row r="346" spans="1:16" x14ac:dyDescent="0.3">
      <c r="A346" t="s">
        <v>468</v>
      </c>
      <c r="B346" s="5">
        <v>46263</v>
      </c>
      <c r="C346" t="s">
        <v>106</v>
      </c>
      <c r="D346" t="s">
        <v>110</v>
      </c>
      <c r="E346">
        <v>750</v>
      </c>
      <c r="F346" t="s">
        <v>72</v>
      </c>
      <c r="G346" t="s">
        <v>73</v>
      </c>
      <c r="H346" t="s">
        <v>74</v>
      </c>
      <c r="I346" t="str">
        <f t="shared" si="21"/>
        <v>2026-08</v>
      </c>
      <c r="J346" t="str">
        <f ca="1">IFERROR(_xludf.XLOOKUP(C346,'Agent Master'!$A:$A,'Agent Master'!$B:$B,"Missing"),"Missing")</f>
        <v>Missing</v>
      </c>
      <c r="K346" t="str">
        <f ca="1">IFERROR(_xludf.XLOOKUP(C346,'Agent Master'!$A:$A,'Agent Master'!$C:$C,"Missing"),"Missing")</f>
        <v>Missing</v>
      </c>
      <c r="L346" t="str">
        <f t="shared" si="22"/>
        <v>August</v>
      </c>
      <c r="M346" t="str">
        <f>_xlfn.XLOOKUP('Transaction Data'!D346,ProductMap[Product Code],ProductMap[Product Name])</f>
        <v>DMT</v>
      </c>
      <c r="N346" t="str">
        <f t="shared" si="23"/>
        <v>2026-08</v>
      </c>
      <c r="O346" t="str" cm="1">
        <f t="array" ref="O346">IFERROR(_xlfn.XLOOKUP(C346,AgentMaster[[#All],[Agent ID]],AgentMaster[[#All],[Agent Name]]),"")</f>
        <v>Agent 121</v>
      </c>
      <c r="P346">
        <f t="shared" si="24"/>
        <v>7</v>
      </c>
    </row>
    <row r="347" spans="1:16" x14ac:dyDescent="0.3">
      <c r="A347" t="s">
        <v>469</v>
      </c>
      <c r="B347" s="5">
        <v>46261</v>
      </c>
      <c r="C347" t="s">
        <v>154</v>
      </c>
      <c r="D347" t="s">
        <v>95</v>
      </c>
      <c r="E347">
        <v>5000</v>
      </c>
      <c r="F347" t="s">
        <v>72</v>
      </c>
      <c r="G347" t="s">
        <v>73</v>
      </c>
      <c r="H347" t="s">
        <v>74</v>
      </c>
      <c r="I347" t="str">
        <f t="shared" si="21"/>
        <v>2026-08</v>
      </c>
      <c r="J347" t="str">
        <f ca="1">IFERROR(_xludf.XLOOKUP(C347,'Agent Master'!$A:$A,'Agent Master'!$B:$B,"Missing"),"Missing")</f>
        <v>Missing</v>
      </c>
      <c r="K347" t="str">
        <f ca="1">IFERROR(_xludf.XLOOKUP(C347,'Agent Master'!$A:$A,'Agent Master'!$C:$C,"Missing"),"Missing")</f>
        <v>Missing</v>
      </c>
      <c r="L347" t="str">
        <f t="shared" si="22"/>
        <v>August</v>
      </c>
      <c r="M347" t="str">
        <f>_xlfn.XLOOKUP('Transaction Data'!D347,ProductMap[Product Code],ProductMap[Product Name])</f>
        <v>BBPS</v>
      </c>
      <c r="N347" t="str">
        <f t="shared" si="23"/>
        <v>2026-08</v>
      </c>
      <c r="O347" t="str" cm="1">
        <f t="array" ref="O347">IFERROR(_xlfn.XLOOKUP(C347,AgentMaster[[#All],[Agent ID]],AgentMaster[[#All],[Agent Name]]),"")</f>
        <v>Agent 133</v>
      </c>
      <c r="P347">
        <f t="shared" si="24"/>
        <v>9</v>
      </c>
    </row>
    <row r="348" spans="1:16" x14ac:dyDescent="0.3">
      <c r="A348" t="s">
        <v>470</v>
      </c>
      <c r="B348" s="5">
        <v>46268</v>
      </c>
      <c r="C348" t="s">
        <v>150</v>
      </c>
      <c r="D348" t="s">
        <v>95</v>
      </c>
      <c r="E348">
        <v>2000</v>
      </c>
      <c r="F348" t="s">
        <v>72</v>
      </c>
      <c r="G348" t="s">
        <v>73</v>
      </c>
      <c r="H348" t="s">
        <v>78</v>
      </c>
      <c r="I348" t="str">
        <f t="shared" si="21"/>
        <v>2026-09</v>
      </c>
      <c r="J348" t="str">
        <f ca="1">IFERROR(_xludf.XLOOKUP(C348,'Agent Master'!$A:$A,'Agent Master'!$B:$B,"Missing"),"Missing")</f>
        <v>Missing</v>
      </c>
      <c r="K348" t="str">
        <f ca="1">IFERROR(_xludf.XLOOKUP(C348,'Agent Master'!$A:$A,'Agent Master'!$C:$C,"Missing"),"Missing")</f>
        <v>Missing</v>
      </c>
      <c r="L348" t="str">
        <f t="shared" si="22"/>
        <v>September</v>
      </c>
      <c r="M348" t="str">
        <f>_xlfn.XLOOKUP('Transaction Data'!D348,ProductMap[Product Code],ProductMap[Product Name])</f>
        <v>BBPS</v>
      </c>
      <c r="N348" t="str">
        <f t="shared" si="23"/>
        <v>2026-09</v>
      </c>
      <c r="O348" t="str" cm="1">
        <f t="array" ref="O348">IFERROR(_xlfn.XLOOKUP(C348,AgentMaster[[#All],[Agent ID]],AgentMaster[[#All],[Agent Name]]),"")</f>
        <v>Agent 114</v>
      </c>
      <c r="P348">
        <f t="shared" si="24"/>
        <v>8</v>
      </c>
    </row>
    <row r="349" spans="1:16" x14ac:dyDescent="0.3">
      <c r="A349" t="s">
        <v>471</v>
      </c>
      <c r="B349" s="5">
        <v>46255</v>
      </c>
      <c r="C349" t="s">
        <v>178</v>
      </c>
      <c r="D349" t="s">
        <v>110</v>
      </c>
      <c r="E349">
        <v>7500</v>
      </c>
      <c r="F349" t="s">
        <v>72</v>
      </c>
      <c r="G349" t="s">
        <v>73</v>
      </c>
      <c r="H349" t="s">
        <v>96</v>
      </c>
      <c r="I349" t="str">
        <f t="shared" si="21"/>
        <v>2026-08</v>
      </c>
      <c r="J349" t="str">
        <f ca="1">IFERROR(_xludf.XLOOKUP(C349,'Agent Master'!$A:$A,'Agent Master'!$B:$B,"Missing"),"Missing")</f>
        <v>Missing</v>
      </c>
      <c r="K349" t="str">
        <f ca="1">IFERROR(_xludf.XLOOKUP(C349,'Agent Master'!$A:$A,'Agent Master'!$C:$C,"Missing"),"Missing")</f>
        <v>Missing</v>
      </c>
      <c r="L349" t="str">
        <f t="shared" si="22"/>
        <v>August</v>
      </c>
      <c r="M349" t="str">
        <f>_xlfn.XLOOKUP('Transaction Data'!D349,ProductMap[Product Code],ProductMap[Product Name])</f>
        <v>DMT</v>
      </c>
      <c r="N349" t="str">
        <f t="shared" si="23"/>
        <v>2026-08</v>
      </c>
      <c r="O349" t="str" cm="1">
        <f t="array" ref="O349">IFERROR(_xlfn.XLOOKUP(C349,AgentMaster[[#All],[Agent ID]],AgentMaster[[#All],[Agent Name]]),"")</f>
        <v>Agent 112</v>
      </c>
      <c r="P349">
        <f t="shared" si="24"/>
        <v>7</v>
      </c>
    </row>
    <row r="350" spans="1:16" x14ac:dyDescent="0.3">
      <c r="A350" t="s">
        <v>472</v>
      </c>
      <c r="B350" s="5">
        <v>46278</v>
      </c>
      <c r="D350" t="s">
        <v>77</v>
      </c>
      <c r="E350">
        <v>1500</v>
      </c>
      <c r="F350" t="s">
        <v>92</v>
      </c>
      <c r="G350" t="s">
        <v>84</v>
      </c>
      <c r="H350" t="s">
        <v>74</v>
      </c>
      <c r="I350" t="str">
        <f t="shared" si="21"/>
        <v>2026-09</v>
      </c>
      <c r="J350" t="str">
        <f ca="1">IFERROR(_xludf.XLOOKUP(C350,'Agent Master'!$A:$A,'Agent Master'!$B:$B,"Missing"),"Missing")</f>
        <v>Missing</v>
      </c>
      <c r="K350" t="str">
        <f ca="1">IFERROR(_xludf.XLOOKUP(C350,'Agent Master'!$A:$A,'Agent Master'!$C:$C,"Missing"),"Missing")</f>
        <v>Missing</v>
      </c>
      <c r="L350" t="str">
        <f t="shared" si="22"/>
        <v>September</v>
      </c>
      <c r="M350" t="str">
        <f>_xlfn.XLOOKUP('Transaction Data'!D350,ProductMap[Product Code],ProductMap[Product Name])</f>
        <v>MATM</v>
      </c>
      <c r="N350" t="str">
        <f t="shared" si="23"/>
        <v>2026-09</v>
      </c>
      <c r="O350" t="str" cm="1">
        <f t="array" ref="O350">IFERROR(_xlfn.XLOOKUP(C350,AgentMaster[[#All],[Agent ID]],AgentMaster[[#All],[Agent Name]]),"")</f>
        <v/>
      </c>
      <c r="P350">
        <f t="shared" si="24"/>
        <v>25</v>
      </c>
    </row>
    <row r="351" spans="1:16" x14ac:dyDescent="0.3">
      <c r="A351" t="s">
        <v>473</v>
      </c>
      <c r="B351" s="5">
        <v>46250</v>
      </c>
      <c r="C351" t="s">
        <v>89</v>
      </c>
      <c r="D351" t="s">
        <v>95</v>
      </c>
      <c r="E351">
        <v>1500</v>
      </c>
      <c r="F351" t="s">
        <v>72</v>
      </c>
      <c r="G351" t="s">
        <v>84</v>
      </c>
      <c r="H351" t="s">
        <v>96</v>
      </c>
      <c r="I351" t="str">
        <f t="shared" si="21"/>
        <v>2026-08</v>
      </c>
      <c r="J351" t="str">
        <f ca="1">IFERROR(_xludf.XLOOKUP(C351,'Agent Master'!$A:$A,'Agent Master'!$B:$B,"Missing"),"Missing")</f>
        <v>Missing</v>
      </c>
      <c r="K351" t="str">
        <f ca="1">IFERROR(_xludf.XLOOKUP(C351,'Agent Master'!$A:$A,'Agent Master'!$C:$C,"Missing"),"Missing")</f>
        <v>Missing</v>
      </c>
      <c r="L351" t="str">
        <f t="shared" si="22"/>
        <v>August</v>
      </c>
      <c r="M351" t="str">
        <f>_xlfn.XLOOKUP('Transaction Data'!D351,ProductMap[Product Code],ProductMap[Product Name])</f>
        <v>BBPS</v>
      </c>
      <c r="N351" t="str">
        <f t="shared" si="23"/>
        <v>2026-08</v>
      </c>
      <c r="O351" t="str" cm="1">
        <f t="array" ref="O351">IFERROR(_xlfn.XLOOKUP(C351,AgentMaster[[#All],[Agent ID]],AgentMaster[[#All],[Agent Name]]),"")</f>
        <v>Agent 118</v>
      </c>
      <c r="P351">
        <f t="shared" si="24"/>
        <v>11</v>
      </c>
    </row>
    <row r="352" spans="1:16" x14ac:dyDescent="0.3">
      <c r="A352" t="s">
        <v>474</v>
      </c>
      <c r="B352" s="5">
        <v>46280</v>
      </c>
      <c r="C352" t="s">
        <v>150</v>
      </c>
      <c r="D352" t="s">
        <v>77</v>
      </c>
      <c r="E352">
        <v>15000</v>
      </c>
      <c r="F352" t="s">
        <v>72</v>
      </c>
      <c r="G352" t="s">
        <v>84</v>
      </c>
      <c r="H352" t="s">
        <v>78</v>
      </c>
      <c r="I352" t="str">
        <f t="shared" si="21"/>
        <v>2026-09</v>
      </c>
      <c r="J352" t="str">
        <f ca="1">IFERROR(_xludf.XLOOKUP(C352,'Agent Master'!$A:$A,'Agent Master'!$B:$B,"Missing"),"Missing")</f>
        <v>Missing</v>
      </c>
      <c r="K352" t="str">
        <f ca="1">IFERROR(_xludf.XLOOKUP(C352,'Agent Master'!$A:$A,'Agent Master'!$C:$C,"Missing"),"Missing")</f>
        <v>Missing</v>
      </c>
      <c r="L352" t="str">
        <f t="shared" si="22"/>
        <v>September</v>
      </c>
      <c r="M352" t="str">
        <f>_xlfn.XLOOKUP('Transaction Data'!D352,ProductMap[Product Code],ProductMap[Product Name])</f>
        <v>MATM</v>
      </c>
      <c r="N352" t="str">
        <f t="shared" si="23"/>
        <v>2026-09</v>
      </c>
      <c r="O352" t="str" cm="1">
        <f t="array" ref="O352">IFERROR(_xlfn.XLOOKUP(C352,AgentMaster[[#All],[Agent ID]],AgentMaster[[#All],[Agent Name]]),"")</f>
        <v>Agent 114</v>
      </c>
      <c r="P352">
        <f t="shared" si="24"/>
        <v>8</v>
      </c>
    </row>
    <row r="353" spans="1:16" x14ac:dyDescent="0.3">
      <c r="A353" t="s">
        <v>475</v>
      </c>
      <c r="B353" s="5">
        <v>46257</v>
      </c>
      <c r="C353" t="s">
        <v>112</v>
      </c>
      <c r="D353" t="s">
        <v>77</v>
      </c>
      <c r="E353">
        <v>1500</v>
      </c>
      <c r="F353" t="s">
        <v>72</v>
      </c>
      <c r="G353" t="s">
        <v>73</v>
      </c>
      <c r="H353" t="s">
        <v>78</v>
      </c>
      <c r="I353" t="str">
        <f t="shared" si="21"/>
        <v>2026-08</v>
      </c>
      <c r="J353" t="str">
        <f ca="1">IFERROR(_xludf.XLOOKUP(C353,'Agent Master'!$A:$A,'Agent Master'!$B:$B,"Missing"),"Missing")</f>
        <v>Missing</v>
      </c>
      <c r="K353" t="str">
        <f ca="1">IFERROR(_xludf.XLOOKUP(C353,'Agent Master'!$A:$A,'Agent Master'!$C:$C,"Missing"),"Missing")</f>
        <v>Missing</v>
      </c>
      <c r="L353" t="str">
        <f t="shared" si="22"/>
        <v>August</v>
      </c>
      <c r="M353" t="str">
        <f>_xlfn.XLOOKUP('Transaction Data'!D353,ProductMap[Product Code],ProductMap[Product Name])</f>
        <v>MATM</v>
      </c>
      <c r="N353" t="str">
        <f t="shared" si="23"/>
        <v>2026-08</v>
      </c>
      <c r="O353" t="str" cm="1">
        <f t="array" ref="O353">IFERROR(_xlfn.XLOOKUP(C353,AgentMaster[[#All],[Agent ID]],AgentMaster[[#All],[Agent Name]]),"")</f>
        <v>Agent 136</v>
      </c>
      <c r="P353">
        <f t="shared" si="24"/>
        <v>16</v>
      </c>
    </row>
    <row r="354" spans="1:16" x14ac:dyDescent="0.3">
      <c r="A354" t="s">
        <v>476</v>
      </c>
      <c r="B354" s="5">
        <v>46292</v>
      </c>
      <c r="C354" t="s">
        <v>141</v>
      </c>
      <c r="D354" t="s">
        <v>87</v>
      </c>
      <c r="E354">
        <v>20000</v>
      </c>
      <c r="F354" t="s">
        <v>72</v>
      </c>
      <c r="G354" t="s">
        <v>84</v>
      </c>
      <c r="H354" t="s">
        <v>81</v>
      </c>
      <c r="I354" t="str">
        <f t="shared" si="21"/>
        <v>2026-09</v>
      </c>
      <c r="J354" t="str">
        <f ca="1">IFERROR(_xludf.XLOOKUP(C354,'Agent Master'!$A:$A,'Agent Master'!$B:$B,"Missing"),"Missing")</f>
        <v>Missing</v>
      </c>
      <c r="K354" t="str">
        <f ca="1">IFERROR(_xludf.XLOOKUP(C354,'Agent Master'!$A:$A,'Agent Master'!$C:$C,"Missing"),"Missing")</f>
        <v>Missing</v>
      </c>
      <c r="L354" t="str">
        <f t="shared" si="22"/>
        <v>September</v>
      </c>
      <c r="M354" t="str">
        <f>_xlfn.XLOOKUP('Transaction Data'!D354,ProductMap[Product Code],ProductMap[Product Name])</f>
        <v>APAY</v>
      </c>
      <c r="N354" t="str">
        <f t="shared" si="23"/>
        <v>2026-09</v>
      </c>
      <c r="O354" t="str" cm="1">
        <f t="array" ref="O354">IFERROR(_xlfn.XLOOKUP(C354,AgentMaster[[#All],[Agent ID]],AgentMaster[[#All],[Agent Name]]),"")</f>
        <v>Agent 126</v>
      </c>
      <c r="P354">
        <f t="shared" si="24"/>
        <v>11</v>
      </c>
    </row>
    <row r="355" spans="1:16" x14ac:dyDescent="0.3">
      <c r="A355" t="s">
        <v>477</v>
      </c>
      <c r="B355" s="5">
        <v>46253</v>
      </c>
      <c r="C355" t="s">
        <v>157</v>
      </c>
      <c r="D355" t="s">
        <v>87</v>
      </c>
      <c r="E355">
        <v>5000</v>
      </c>
      <c r="F355" t="s">
        <v>72</v>
      </c>
      <c r="G355" t="s">
        <v>73</v>
      </c>
      <c r="H355" t="s">
        <v>78</v>
      </c>
      <c r="I355" t="str">
        <f t="shared" si="21"/>
        <v>2026-08</v>
      </c>
      <c r="J355" t="str">
        <f ca="1">IFERROR(_xludf.XLOOKUP(C355,'Agent Master'!$A:$A,'Agent Master'!$B:$B,"Missing"),"Missing")</f>
        <v>Missing</v>
      </c>
      <c r="K355" t="str">
        <f ca="1">IFERROR(_xludf.XLOOKUP(C355,'Agent Master'!$A:$A,'Agent Master'!$C:$C,"Missing"),"Missing")</f>
        <v>Missing</v>
      </c>
      <c r="L355" t="str">
        <f t="shared" si="22"/>
        <v>August</v>
      </c>
      <c r="M355" t="str">
        <f>_xlfn.XLOOKUP('Transaction Data'!D355,ProductMap[Product Code],ProductMap[Product Name])</f>
        <v>APAY</v>
      </c>
      <c r="N355" t="str">
        <f t="shared" si="23"/>
        <v>2026-08</v>
      </c>
      <c r="O355" t="str" cm="1">
        <f t="array" ref="O355">IFERROR(_xlfn.XLOOKUP(C355,AgentMaster[[#All],[Agent ID]],AgentMaster[[#All],[Agent Name]]),"")</f>
        <v>Agent 106</v>
      </c>
      <c r="P355">
        <f t="shared" si="24"/>
        <v>8</v>
      </c>
    </row>
    <row r="356" spans="1:16" x14ac:dyDescent="0.3">
      <c r="A356" t="s">
        <v>478</v>
      </c>
      <c r="B356" s="5">
        <v>46248</v>
      </c>
      <c r="C356" t="s">
        <v>83</v>
      </c>
      <c r="D356" t="s">
        <v>95</v>
      </c>
      <c r="E356">
        <v>1500</v>
      </c>
      <c r="F356" t="s">
        <v>72</v>
      </c>
      <c r="G356" t="s">
        <v>73</v>
      </c>
      <c r="H356" t="s">
        <v>96</v>
      </c>
      <c r="I356" t="str">
        <f t="shared" si="21"/>
        <v>2026-08</v>
      </c>
      <c r="J356" t="str">
        <f ca="1">IFERROR(_xludf.XLOOKUP(C356,'Agent Master'!$A:$A,'Agent Master'!$B:$B,"Missing"),"Missing")</f>
        <v>Missing</v>
      </c>
      <c r="K356" t="str">
        <f ca="1">IFERROR(_xludf.XLOOKUP(C356,'Agent Master'!$A:$A,'Agent Master'!$C:$C,"Missing"),"Missing")</f>
        <v>Missing</v>
      </c>
      <c r="L356" t="str">
        <f t="shared" si="22"/>
        <v>August</v>
      </c>
      <c r="M356" t="str">
        <f>_xlfn.XLOOKUP('Transaction Data'!D356,ProductMap[Product Code],ProductMap[Product Name])</f>
        <v>BBPS</v>
      </c>
      <c r="N356" t="str">
        <f t="shared" si="23"/>
        <v>2026-08</v>
      </c>
      <c r="O356" t="str" cm="1">
        <f t="array" ref="O356">IFERROR(_xlfn.XLOOKUP(C356,AgentMaster[[#All],[Agent ID]],AgentMaster[[#All],[Agent Name]]),"")</f>
        <v>Agent 113</v>
      </c>
      <c r="P356">
        <f t="shared" si="24"/>
        <v>12</v>
      </c>
    </row>
    <row r="357" spans="1:16" x14ac:dyDescent="0.3">
      <c r="A357" t="s">
        <v>479</v>
      </c>
      <c r="B357" s="5">
        <v>46243</v>
      </c>
      <c r="C357" t="s">
        <v>76</v>
      </c>
      <c r="D357" t="s">
        <v>95</v>
      </c>
      <c r="E357">
        <v>15000</v>
      </c>
      <c r="F357" t="s">
        <v>92</v>
      </c>
      <c r="G357" t="s">
        <v>73</v>
      </c>
      <c r="H357" t="s">
        <v>74</v>
      </c>
      <c r="I357" t="str">
        <f t="shared" si="21"/>
        <v>2026-08</v>
      </c>
      <c r="J357" t="str">
        <f ca="1">IFERROR(_xludf.XLOOKUP(C357,'Agent Master'!$A:$A,'Agent Master'!$B:$B,"Missing"),"Missing")</f>
        <v>Missing</v>
      </c>
      <c r="K357" t="str">
        <f ca="1">IFERROR(_xludf.XLOOKUP(C357,'Agent Master'!$A:$A,'Agent Master'!$C:$C,"Missing"),"Missing")</f>
        <v>Missing</v>
      </c>
      <c r="L357" t="str">
        <f t="shared" si="22"/>
        <v>August</v>
      </c>
      <c r="M357" t="str">
        <f>_xlfn.XLOOKUP('Transaction Data'!D357,ProductMap[Product Code],ProductMap[Product Name])</f>
        <v>BBPS</v>
      </c>
      <c r="N357" t="str">
        <f t="shared" si="23"/>
        <v>2026-08</v>
      </c>
      <c r="O357" t="str" cm="1">
        <f t="array" ref="O357">IFERROR(_xlfn.XLOOKUP(C357,AgentMaster[[#All],[Agent ID]],AgentMaster[[#All],[Agent Name]]),"")</f>
        <v>Agent 107</v>
      </c>
      <c r="P357">
        <f t="shared" si="24"/>
        <v>16</v>
      </c>
    </row>
    <row r="358" spans="1:16" x14ac:dyDescent="0.3">
      <c r="A358" t="s">
        <v>480</v>
      </c>
      <c r="B358" s="5">
        <v>46238</v>
      </c>
      <c r="C358" t="s">
        <v>189</v>
      </c>
      <c r="D358" t="s">
        <v>90</v>
      </c>
      <c r="E358">
        <v>12500</v>
      </c>
      <c r="F358" t="s">
        <v>72</v>
      </c>
      <c r="G358" t="s">
        <v>73</v>
      </c>
      <c r="H358" t="s">
        <v>81</v>
      </c>
      <c r="I358" t="str">
        <f t="shared" si="21"/>
        <v>2026-08</v>
      </c>
      <c r="J358" t="str">
        <f ca="1">IFERROR(_xludf.XLOOKUP(C358,'Agent Master'!$A:$A,'Agent Master'!$B:$B,"Missing"),"Missing")</f>
        <v>Missing</v>
      </c>
      <c r="K358" t="str">
        <f ca="1">IFERROR(_xludf.XLOOKUP(C358,'Agent Master'!$A:$A,'Agent Master'!$C:$C,"Missing"),"Missing")</f>
        <v>Missing</v>
      </c>
      <c r="L358" t="str">
        <f t="shared" si="22"/>
        <v>August</v>
      </c>
      <c r="M358" t="str">
        <f>_xlfn.XLOOKUP('Transaction Data'!D358,ProductMap[Product Code],ProductMap[Product Name])</f>
        <v>UPI</v>
      </c>
      <c r="N358" t="str">
        <f t="shared" si="23"/>
        <v>2026-08</v>
      </c>
      <c r="O358" t="str" cm="1">
        <f t="array" ref="O358">IFERROR(_xlfn.XLOOKUP(C358,AgentMaster[[#All],[Agent ID]],AgentMaster[[#All],[Agent Name]]),"")</f>
        <v>Agent 134</v>
      </c>
      <c r="P358">
        <f t="shared" si="24"/>
        <v>6</v>
      </c>
    </row>
    <row r="359" spans="1:16" x14ac:dyDescent="0.3">
      <c r="A359" t="s">
        <v>481</v>
      </c>
      <c r="B359" s="5">
        <v>46261</v>
      </c>
      <c r="C359" t="s">
        <v>191</v>
      </c>
      <c r="D359" t="s">
        <v>77</v>
      </c>
      <c r="E359">
        <v>5000</v>
      </c>
      <c r="F359" t="s">
        <v>72</v>
      </c>
      <c r="G359" t="s">
        <v>73</v>
      </c>
      <c r="H359" t="s">
        <v>74</v>
      </c>
      <c r="I359" t="str">
        <f t="shared" si="21"/>
        <v>2026-08</v>
      </c>
      <c r="J359" t="str">
        <f ca="1">IFERROR(_xludf.XLOOKUP(C359,'Agent Master'!$A:$A,'Agent Master'!$B:$B,"Missing"),"Missing")</f>
        <v>Missing</v>
      </c>
      <c r="K359" t="str">
        <f ca="1">IFERROR(_xludf.XLOOKUP(C359,'Agent Master'!$A:$A,'Agent Master'!$C:$C,"Missing"),"Missing")</f>
        <v>Missing</v>
      </c>
      <c r="L359" t="str">
        <f t="shared" si="22"/>
        <v>August</v>
      </c>
      <c r="M359" t="str">
        <f>_xlfn.XLOOKUP('Transaction Data'!D359,ProductMap[Product Code],ProductMap[Product Name])</f>
        <v>MATM</v>
      </c>
      <c r="N359" t="str">
        <f t="shared" si="23"/>
        <v>2026-08</v>
      </c>
      <c r="O359" t="str" cm="1">
        <f t="array" ref="O359">IFERROR(_xlfn.XLOOKUP(C359,AgentMaster[[#All],[Agent ID]],AgentMaster[[#All],[Agent Name]]),"")</f>
        <v>Agent 122</v>
      </c>
      <c r="P359">
        <f t="shared" si="24"/>
        <v>7</v>
      </c>
    </row>
    <row r="360" spans="1:16" x14ac:dyDescent="0.3">
      <c r="A360" t="s">
        <v>482</v>
      </c>
      <c r="B360" s="5">
        <v>46235</v>
      </c>
      <c r="C360" t="s">
        <v>112</v>
      </c>
      <c r="D360" t="s">
        <v>90</v>
      </c>
      <c r="E360">
        <v>2500</v>
      </c>
      <c r="F360" t="s">
        <v>72</v>
      </c>
      <c r="G360" t="s">
        <v>84</v>
      </c>
      <c r="H360" t="s">
        <v>74</v>
      </c>
      <c r="I360" t="str">
        <f t="shared" si="21"/>
        <v>2026-08</v>
      </c>
      <c r="J360" t="str">
        <f ca="1">IFERROR(_xludf.XLOOKUP(C360,'Agent Master'!$A:$A,'Agent Master'!$B:$B,"Missing"),"Missing")</f>
        <v>Missing</v>
      </c>
      <c r="K360" t="str">
        <f ca="1">IFERROR(_xludf.XLOOKUP(C360,'Agent Master'!$A:$A,'Agent Master'!$C:$C,"Missing"),"Missing")</f>
        <v>Missing</v>
      </c>
      <c r="L360" t="str">
        <f t="shared" si="22"/>
        <v>August</v>
      </c>
      <c r="M360" t="str">
        <f>_xlfn.XLOOKUP('Transaction Data'!D360,ProductMap[Product Code],ProductMap[Product Name])</f>
        <v>UPI</v>
      </c>
      <c r="N360" t="str">
        <f t="shared" si="23"/>
        <v>2026-08</v>
      </c>
      <c r="O360" t="str" cm="1">
        <f t="array" ref="O360">IFERROR(_xlfn.XLOOKUP(C360,AgentMaster[[#All],[Agent ID]],AgentMaster[[#All],[Agent Name]]),"")</f>
        <v>Agent 136</v>
      </c>
      <c r="P360">
        <f t="shared" si="24"/>
        <v>16</v>
      </c>
    </row>
    <row r="361" spans="1:16" x14ac:dyDescent="0.3">
      <c r="A361" t="s">
        <v>483</v>
      </c>
      <c r="B361" s="5">
        <v>46283</v>
      </c>
      <c r="C361" t="s">
        <v>242</v>
      </c>
      <c r="D361" t="s">
        <v>87</v>
      </c>
      <c r="E361">
        <v>1500</v>
      </c>
      <c r="F361" t="s">
        <v>72</v>
      </c>
      <c r="G361" t="s">
        <v>73</v>
      </c>
      <c r="H361" t="s">
        <v>74</v>
      </c>
      <c r="I361" t="str">
        <f t="shared" si="21"/>
        <v>2026-09</v>
      </c>
      <c r="J361" t="str">
        <f ca="1">IFERROR(_xludf.XLOOKUP(C361,'Agent Master'!$A:$A,'Agent Master'!$B:$B,"Missing"),"Missing")</f>
        <v>Missing</v>
      </c>
      <c r="K361" t="str">
        <f ca="1">IFERROR(_xludf.XLOOKUP(C361,'Agent Master'!$A:$A,'Agent Master'!$C:$C,"Missing"),"Missing")</f>
        <v>Missing</v>
      </c>
      <c r="L361" t="str">
        <f t="shared" si="22"/>
        <v>September</v>
      </c>
      <c r="M361" t="str">
        <f>_xlfn.XLOOKUP('Transaction Data'!D361,ProductMap[Product Code],ProductMap[Product Name])</f>
        <v>APAY</v>
      </c>
      <c r="N361" t="str">
        <f t="shared" si="23"/>
        <v>2026-09</v>
      </c>
      <c r="O361" t="str" cm="1">
        <f t="array" ref="O361">IFERROR(_xlfn.XLOOKUP(C361,AgentMaster[[#All],[Agent ID]],AgentMaster[[#All],[Agent Name]]),"")</f>
        <v>Agent 119</v>
      </c>
      <c r="P361">
        <f t="shared" si="24"/>
        <v>13</v>
      </c>
    </row>
    <row r="362" spans="1:16" x14ac:dyDescent="0.3">
      <c r="A362" t="s">
        <v>484</v>
      </c>
      <c r="B362" s="5">
        <v>46269</v>
      </c>
      <c r="C362" t="s">
        <v>134</v>
      </c>
      <c r="D362" t="s">
        <v>90</v>
      </c>
      <c r="E362">
        <v>2500</v>
      </c>
      <c r="F362" t="s">
        <v>72</v>
      </c>
      <c r="G362" t="s">
        <v>73</v>
      </c>
      <c r="H362" t="s">
        <v>78</v>
      </c>
      <c r="I362" t="str">
        <f t="shared" si="21"/>
        <v>2026-09</v>
      </c>
      <c r="J362" t="str">
        <f ca="1">IFERROR(_xludf.XLOOKUP(C362,'Agent Master'!$A:$A,'Agent Master'!$B:$B,"Missing"),"Missing")</f>
        <v>Missing</v>
      </c>
      <c r="K362" t="str">
        <f ca="1">IFERROR(_xludf.XLOOKUP(C362,'Agent Master'!$A:$A,'Agent Master'!$C:$C,"Missing"),"Missing")</f>
        <v>Missing</v>
      </c>
      <c r="L362" t="str">
        <f t="shared" si="22"/>
        <v>September</v>
      </c>
      <c r="M362" t="str">
        <f>_xlfn.XLOOKUP('Transaction Data'!D362,ProductMap[Product Code],ProductMap[Product Name])</f>
        <v>UPI</v>
      </c>
      <c r="N362" t="str">
        <f t="shared" si="23"/>
        <v>2026-09</v>
      </c>
      <c r="O362" t="str" cm="1">
        <f t="array" ref="O362">IFERROR(_xlfn.XLOOKUP(C362,AgentMaster[[#All],[Agent ID]],AgentMaster[[#All],[Agent Name]]),"")</f>
        <v>Agent 103</v>
      </c>
      <c r="P362">
        <f t="shared" si="24"/>
        <v>11</v>
      </c>
    </row>
    <row r="363" spans="1:16" x14ac:dyDescent="0.3">
      <c r="A363" t="s">
        <v>485</v>
      </c>
      <c r="B363" s="5">
        <v>46285</v>
      </c>
      <c r="C363" t="s">
        <v>136</v>
      </c>
      <c r="D363" t="s">
        <v>90</v>
      </c>
      <c r="E363">
        <v>15000</v>
      </c>
      <c r="F363" t="s">
        <v>72</v>
      </c>
      <c r="G363" t="s">
        <v>73</v>
      </c>
      <c r="H363" t="s">
        <v>81</v>
      </c>
      <c r="I363" t="str">
        <f t="shared" si="21"/>
        <v>2026-09</v>
      </c>
      <c r="J363" t="str">
        <f ca="1">IFERROR(_xludf.XLOOKUP(C363,'Agent Master'!$A:$A,'Agent Master'!$B:$B,"Missing"),"Missing")</f>
        <v>Missing</v>
      </c>
      <c r="K363" t="str">
        <f ca="1">IFERROR(_xludf.XLOOKUP(C363,'Agent Master'!$A:$A,'Agent Master'!$C:$C,"Missing"),"Missing")</f>
        <v>Missing</v>
      </c>
      <c r="L363" t="str">
        <f t="shared" si="22"/>
        <v>September</v>
      </c>
      <c r="M363" t="str">
        <f>_xlfn.XLOOKUP('Transaction Data'!D363,ProductMap[Product Code],ProductMap[Product Name])</f>
        <v>UPI</v>
      </c>
      <c r="N363" t="str">
        <f t="shared" si="23"/>
        <v>2026-09</v>
      </c>
      <c r="O363" t="str" cm="1">
        <f t="array" ref="O363">IFERROR(_xlfn.XLOOKUP(C363,AgentMaster[[#All],[Agent ID]],AgentMaster[[#All],[Agent Name]]),"")</f>
        <v>Agent 132</v>
      </c>
      <c r="P363">
        <f t="shared" si="24"/>
        <v>8</v>
      </c>
    </row>
    <row r="364" spans="1:16" x14ac:dyDescent="0.3">
      <c r="A364" t="s">
        <v>486</v>
      </c>
      <c r="B364" s="5">
        <v>46254</v>
      </c>
      <c r="C364" t="s">
        <v>125</v>
      </c>
      <c r="D364" t="s">
        <v>95</v>
      </c>
      <c r="E364">
        <v>500</v>
      </c>
      <c r="F364" t="s">
        <v>72</v>
      </c>
      <c r="G364" t="s">
        <v>84</v>
      </c>
      <c r="H364" t="s">
        <v>78</v>
      </c>
      <c r="I364" t="str">
        <f t="shared" si="21"/>
        <v>2026-08</v>
      </c>
      <c r="J364" t="str">
        <f ca="1">IFERROR(_xludf.XLOOKUP(C364,'Agent Master'!$A:$A,'Agent Master'!$B:$B,"Missing"),"Missing")</f>
        <v>Missing</v>
      </c>
      <c r="K364" t="str">
        <f ca="1">IFERROR(_xludf.XLOOKUP(C364,'Agent Master'!$A:$A,'Agent Master'!$C:$C,"Missing"),"Missing")</f>
        <v>Missing</v>
      </c>
      <c r="L364" t="str">
        <f t="shared" si="22"/>
        <v>August</v>
      </c>
      <c r="M364" t="str">
        <f>_xlfn.XLOOKUP('Transaction Data'!D364,ProductMap[Product Code],ProductMap[Product Name])</f>
        <v>BBPS</v>
      </c>
      <c r="N364" t="str">
        <f t="shared" si="23"/>
        <v>2026-08</v>
      </c>
      <c r="O364" t="str" cm="1">
        <f t="array" ref="O364">IFERROR(_xlfn.XLOOKUP(C364,AgentMaster[[#All],[Agent ID]],AgentMaster[[#All],[Agent Name]]),"")</f>
        <v>Agent 137</v>
      </c>
      <c r="P364">
        <f t="shared" si="24"/>
        <v>11</v>
      </c>
    </row>
    <row r="365" spans="1:16" x14ac:dyDescent="0.3">
      <c r="A365" t="s">
        <v>487</v>
      </c>
      <c r="B365" s="5">
        <v>46276</v>
      </c>
      <c r="C365" t="s">
        <v>129</v>
      </c>
      <c r="D365" t="s">
        <v>95</v>
      </c>
      <c r="E365">
        <v>5000</v>
      </c>
      <c r="F365" t="s">
        <v>72</v>
      </c>
      <c r="G365" t="s">
        <v>73</v>
      </c>
      <c r="H365" t="s">
        <v>78</v>
      </c>
      <c r="I365" t="str">
        <f t="shared" si="21"/>
        <v>2026-09</v>
      </c>
      <c r="J365" t="str">
        <f ca="1">IFERROR(_xludf.XLOOKUP(C365,'Agent Master'!$A:$A,'Agent Master'!$B:$B,"Missing"),"Missing")</f>
        <v>Missing</v>
      </c>
      <c r="K365" t="str">
        <f ca="1">IFERROR(_xludf.XLOOKUP(C365,'Agent Master'!$A:$A,'Agent Master'!$C:$C,"Missing"),"Missing")</f>
        <v>Missing</v>
      </c>
      <c r="L365" t="str">
        <f t="shared" si="22"/>
        <v>September</v>
      </c>
      <c r="M365" t="str">
        <f>_xlfn.XLOOKUP('Transaction Data'!D365,ProductMap[Product Code],ProductMap[Product Name])</f>
        <v>BBPS</v>
      </c>
      <c r="N365" t="str">
        <f t="shared" si="23"/>
        <v>2026-09</v>
      </c>
      <c r="O365" t="str" cm="1">
        <f t="array" ref="O365">IFERROR(_xlfn.XLOOKUP(C365,AgentMaster[[#All],[Agent ID]],AgentMaster[[#All],[Agent Name]]),"")</f>
        <v>Agent 135</v>
      </c>
      <c r="P365">
        <f t="shared" si="24"/>
        <v>19</v>
      </c>
    </row>
    <row r="366" spans="1:16" x14ac:dyDescent="0.3">
      <c r="A366" t="s">
        <v>488</v>
      </c>
      <c r="B366" s="5">
        <v>46252</v>
      </c>
      <c r="C366" t="s">
        <v>83</v>
      </c>
      <c r="D366" t="s">
        <v>71</v>
      </c>
      <c r="E366">
        <v>2000</v>
      </c>
      <c r="F366" t="s">
        <v>72</v>
      </c>
      <c r="G366" t="s">
        <v>73</v>
      </c>
      <c r="H366" t="s">
        <v>78</v>
      </c>
      <c r="I366" t="str">
        <f t="shared" si="21"/>
        <v>2026-08</v>
      </c>
      <c r="J366" t="str">
        <f ca="1">IFERROR(_xludf.XLOOKUP(C366,'Agent Master'!$A:$A,'Agent Master'!$B:$B,"Missing"),"Missing")</f>
        <v>Missing</v>
      </c>
      <c r="K366" t="str">
        <f ca="1">IFERROR(_xludf.XLOOKUP(C366,'Agent Master'!$A:$A,'Agent Master'!$C:$C,"Missing"),"Missing")</f>
        <v>Missing</v>
      </c>
      <c r="L366" t="str">
        <f t="shared" si="22"/>
        <v>August</v>
      </c>
      <c r="M366" t="str">
        <f>_xlfn.XLOOKUP('Transaction Data'!D366,ProductMap[Product Code],ProductMap[Product Name])</f>
        <v>AEPS</v>
      </c>
      <c r="N366" t="str">
        <f t="shared" si="23"/>
        <v>2026-08</v>
      </c>
      <c r="O366" t="str" cm="1">
        <f t="array" ref="O366">IFERROR(_xlfn.XLOOKUP(C366,AgentMaster[[#All],[Agent ID]],AgentMaster[[#All],[Agent Name]]),"")</f>
        <v>Agent 113</v>
      </c>
      <c r="P366">
        <f t="shared" si="24"/>
        <v>12</v>
      </c>
    </row>
    <row r="367" spans="1:16" x14ac:dyDescent="0.3">
      <c r="A367" t="s">
        <v>489</v>
      </c>
      <c r="B367" s="5">
        <v>46276</v>
      </c>
      <c r="C367" t="s">
        <v>159</v>
      </c>
      <c r="D367" t="s">
        <v>77</v>
      </c>
      <c r="E367">
        <v>750</v>
      </c>
      <c r="F367" t="s">
        <v>72</v>
      </c>
      <c r="G367" t="s">
        <v>73</v>
      </c>
      <c r="H367" t="s">
        <v>96</v>
      </c>
      <c r="I367" t="str">
        <f t="shared" si="21"/>
        <v>2026-09</v>
      </c>
      <c r="J367" t="str">
        <f ca="1">IFERROR(_xludf.XLOOKUP(C367,'Agent Master'!$A:$A,'Agent Master'!$B:$B,"Missing"),"Missing")</f>
        <v>Missing</v>
      </c>
      <c r="K367" t="str">
        <f ca="1">IFERROR(_xludf.XLOOKUP(C367,'Agent Master'!$A:$A,'Agent Master'!$C:$C,"Missing"),"Missing")</f>
        <v>Missing</v>
      </c>
      <c r="L367" t="str">
        <f t="shared" si="22"/>
        <v>September</v>
      </c>
      <c r="M367" t="str">
        <f>_xlfn.XLOOKUP('Transaction Data'!D367,ProductMap[Product Code],ProductMap[Product Name])</f>
        <v>MATM</v>
      </c>
      <c r="N367" t="str">
        <f t="shared" si="23"/>
        <v>2026-09</v>
      </c>
      <c r="O367" t="str" cm="1">
        <f t="array" ref="O367">IFERROR(_xlfn.XLOOKUP(C367,AgentMaster[[#All],[Agent ID]],AgentMaster[[#All],[Agent Name]]),"")</f>
        <v>Agent 117</v>
      </c>
      <c r="P367">
        <f t="shared" si="24"/>
        <v>12</v>
      </c>
    </row>
    <row r="368" spans="1:16" x14ac:dyDescent="0.3">
      <c r="A368" t="s">
        <v>490</v>
      </c>
      <c r="B368" s="5">
        <v>46285</v>
      </c>
      <c r="C368" t="s">
        <v>242</v>
      </c>
      <c r="D368" t="s">
        <v>95</v>
      </c>
      <c r="E368">
        <v>12500</v>
      </c>
      <c r="F368" t="s">
        <v>72</v>
      </c>
      <c r="G368" t="s">
        <v>73</v>
      </c>
      <c r="H368" t="s">
        <v>78</v>
      </c>
      <c r="I368" t="str">
        <f t="shared" si="21"/>
        <v>2026-09</v>
      </c>
      <c r="J368" t="str">
        <f ca="1">IFERROR(_xludf.XLOOKUP(C368,'Agent Master'!$A:$A,'Agent Master'!$B:$B,"Missing"),"Missing")</f>
        <v>Missing</v>
      </c>
      <c r="K368" t="str">
        <f ca="1">IFERROR(_xludf.XLOOKUP(C368,'Agent Master'!$A:$A,'Agent Master'!$C:$C,"Missing"),"Missing")</f>
        <v>Missing</v>
      </c>
      <c r="L368" t="str">
        <f t="shared" si="22"/>
        <v>September</v>
      </c>
      <c r="M368" t="str">
        <f>_xlfn.XLOOKUP('Transaction Data'!D368,ProductMap[Product Code],ProductMap[Product Name])</f>
        <v>BBPS</v>
      </c>
      <c r="N368" t="str">
        <f t="shared" si="23"/>
        <v>2026-09</v>
      </c>
      <c r="O368" t="str" cm="1">
        <f t="array" ref="O368">IFERROR(_xlfn.XLOOKUP(C368,AgentMaster[[#All],[Agent ID]],AgentMaster[[#All],[Agent Name]]),"")</f>
        <v>Agent 119</v>
      </c>
      <c r="P368">
        <f t="shared" si="24"/>
        <v>13</v>
      </c>
    </row>
    <row r="369" spans="1:16" x14ac:dyDescent="0.3">
      <c r="A369" t="s">
        <v>491</v>
      </c>
      <c r="B369" s="5">
        <v>46287</v>
      </c>
      <c r="C369" t="s">
        <v>139</v>
      </c>
      <c r="D369" t="s">
        <v>95</v>
      </c>
      <c r="E369">
        <v>2000</v>
      </c>
      <c r="F369" t="s">
        <v>72</v>
      </c>
      <c r="G369" t="s">
        <v>84</v>
      </c>
      <c r="H369" t="s">
        <v>81</v>
      </c>
      <c r="I369" t="str">
        <f t="shared" si="21"/>
        <v>2026-09</v>
      </c>
      <c r="J369" t="str">
        <f ca="1">IFERROR(_xludf.XLOOKUP(C369,'Agent Master'!$A:$A,'Agent Master'!$B:$B,"Missing"),"Missing")</f>
        <v>Missing</v>
      </c>
      <c r="K369" t="str">
        <f ca="1">IFERROR(_xludf.XLOOKUP(C369,'Agent Master'!$A:$A,'Agent Master'!$C:$C,"Missing"),"Missing")</f>
        <v>Missing</v>
      </c>
      <c r="L369" t="str">
        <f t="shared" si="22"/>
        <v>September</v>
      </c>
      <c r="M369" t="str">
        <f>_xlfn.XLOOKUP('Transaction Data'!D369,ProductMap[Product Code],ProductMap[Product Name])</f>
        <v>BBPS</v>
      </c>
      <c r="N369" t="str">
        <f t="shared" si="23"/>
        <v>2026-09</v>
      </c>
      <c r="O369" t="str" cm="1">
        <f t="array" ref="O369">IFERROR(_xlfn.XLOOKUP(C369,AgentMaster[[#All],[Agent ID]],AgentMaster[[#All],[Agent Name]]),"")</f>
        <v>Agent 128</v>
      </c>
      <c r="P369">
        <f t="shared" si="24"/>
        <v>16</v>
      </c>
    </row>
    <row r="370" spans="1:16" x14ac:dyDescent="0.3">
      <c r="A370" t="s">
        <v>492</v>
      </c>
      <c r="B370" s="5">
        <v>46246</v>
      </c>
      <c r="C370" t="s">
        <v>161</v>
      </c>
      <c r="D370" t="s">
        <v>110</v>
      </c>
      <c r="E370">
        <v>2000</v>
      </c>
      <c r="F370" t="s">
        <v>72</v>
      </c>
      <c r="G370" t="s">
        <v>73</v>
      </c>
      <c r="H370" t="s">
        <v>96</v>
      </c>
      <c r="I370" t="str">
        <f t="shared" si="21"/>
        <v>2026-08</v>
      </c>
      <c r="J370" t="str">
        <f ca="1">IFERROR(_xludf.XLOOKUP(C370,'Agent Master'!$A:$A,'Agent Master'!$B:$B,"Missing"),"Missing")</f>
        <v>Missing</v>
      </c>
      <c r="K370" t="str">
        <f ca="1">IFERROR(_xludf.XLOOKUP(C370,'Agent Master'!$A:$A,'Agent Master'!$C:$C,"Missing"),"Missing")</f>
        <v>Missing</v>
      </c>
      <c r="L370" t="str">
        <f t="shared" si="22"/>
        <v>August</v>
      </c>
      <c r="M370" t="str">
        <f>_xlfn.XLOOKUP('Transaction Data'!D370,ProductMap[Product Code],ProductMap[Product Name])</f>
        <v>DMT</v>
      </c>
      <c r="N370" t="str">
        <f t="shared" si="23"/>
        <v>2026-08</v>
      </c>
      <c r="O370" t="str" cm="1">
        <f t="array" ref="O370">IFERROR(_xlfn.XLOOKUP(C370,AgentMaster[[#All],[Agent ID]],AgentMaster[[#All],[Agent Name]]),"")</f>
        <v>Agent 109</v>
      </c>
      <c r="P370">
        <f t="shared" si="24"/>
        <v>16</v>
      </c>
    </row>
    <row r="371" spans="1:16" x14ac:dyDescent="0.3">
      <c r="A371" t="s">
        <v>493</v>
      </c>
      <c r="B371" s="5">
        <v>46259</v>
      </c>
      <c r="C371" t="s">
        <v>104</v>
      </c>
      <c r="D371" t="s">
        <v>110</v>
      </c>
      <c r="E371">
        <v>20000</v>
      </c>
      <c r="F371" t="s">
        <v>72</v>
      </c>
      <c r="G371" t="s">
        <v>84</v>
      </c>
      <c r="H371" t="s">
        <v>96</v>
      </c>
      <c r="I371" t="str">
        <f t="shared" si="21"/>
        <v>2026-08</v>
      </c>
      <c r="J371" t="str">
        <f ca="1">IFERROR(_xludf.XLOOKUP(C371,'Agent Master'!$A:$A,'Agent Master'!$B:$B,"Missing"),"Missing")</f>
        <v>Missing</v>
      </c>
      <c r="K371" t="str">
        <f ca="1">IFERROR(_xludf.XLOOKUP(C371,'Agent Master'!$A:$A,'Agent Master'!$C:$C,"Missing"),"Missing")</f>
        <v>Missing</v>
      </c>
      <c r="L371" t="str">
        <f t="shared" si="22"/>
        <v>August</v>
      </c>
      <c r="M371" t="str">
        <f>_xlfn.XLOOKUP('Transaction Data'!D371,ProductMap[Product Code],ProductMap[Product Name])</f>
        <v>DMT</v>
      </c>
      <c r="N371" t="str">
        <f t="shared" si="23"/>
        <v>2026-08</v>
      </c>
      <c r="O371" t="str" cm="1">
        <f t="array" ref="O371">IFERROR(_xlfn.XLOOKUP(C371,AgentMaster[[#All],[Agent ID]],AgentMaster[[#All],[Agent Name]]),"")</f>
        <v>Agent 116</v>
      </c>
      <c r="P371">
        <f t="shared" si="24"/>
        <v>15</v>
      </c>
    </row>
    <row r="372" spans="1:16" x14ac:dyDescent="0.3">
      <c r="A372" t="s">
        <v>494</v>
      </c>
      <c r="B372" s="5">
        <v>46272</v>
      </c>
      <c r="C372" t="s">
        <v>125</v>
      </c>
      <c r="D372" t="s">
        <v>71</v>
      </c>
      <c r="E372">
        <v>1500</v>
      </c>
      <c r="F372" t="s">
        <v>72</v>
      </c>
      <c r="G372" t="s">
        <v>73</v>
      </c>
      <c r="H372" t="s">
        <v>74</v>
      </c>
      <c r="I372" t="str">
        <f t="shared" si="21"/>
        <v>2026-09</v>
      </c>
      <c r="J372" t="str">
        <f ca="1">IFERROR(_xludf.XLOOKUP(C372,'Agent Master'!$A:$A,'Agent Master'!$B:$B,"Missing"),"Missing")</f>
        <v>Missing</v>
      </c>
      <c r="K372" t="str">
        <f ca="1">IFERROR(_xludf.XLOOKUP(C372,'Agent Master'!$A:$A,'Agent Master'!$C:$C,"Missing"),"Missing")</f>
        <v>Missing</v>
      </c>
      <c r="L372" t="str">
        <f t="shared" si="22"/>
        <v>September</v>
      </c>
      <c r="M372" t="str">
        <f>_xlfn.XLOOKUP('Transaction Data'!D372,ProductMap[Product Code],ProductMap[Product Name])</f>
        <v>AEPS</v>
      </c>
      <c r="N372" t="str">
        <f t="shared" si="23"/>
        <v>2026-09</v>
      </c>
      <c r="O372" t="str" cm="1">
        <f t="array" ref="O372">IFERROR(_xlfn.XLOOKUP(C372,AgentMaster[[#All],[Agent ID]],AgentMaster[[#All],[Agent Name]]),"")</f>
        <v>Agent 137</v>
      </c>
      <c r="P372">
        <f t="shared" si="24"/>
        <v>11</v>
      </c>
    </row>
    <row r="373" spans="1:16" x14ac:dyDescent="0.3">
      <c r="A373" t="s">
        <v>495</v>
      </c>
      <c r="B373" s="5">
        <v>46238</v>
      </c>
      <c r="C373" t="s">
        <v>70</v>
      </c>
      <c r="D373" t="s">
        <v>110</v>
      </c>
      <c r="E373">
        <v>1500</v>
      </c>
      <c r="F373" t="s">
        <v>72</v>
      </c>
      <c r="G373" t="s">
        <v>84</v>
      </c>
      <c r="H373" t="s">
        <v>96</v>
      </c>
      <c r="I373" t="str">
        <f t="shared" si="21"/>
        <v>2026-08</v>
      </c>
      <c r="J373" t="str">
        <f ca="1">IFERROR(_xludf.XLOOKUP(C373,'Agent Master'!$A:$A,'Agent Master'!$B:$B,"Missing"),"Missing")</f>
        <v>Missing</v>
      </c>
      <c r="K373" t="str">
        <f ca="1">IFERROR(_xludf.XLOOKUP(C373,'Agent Master'!$A:$A,'Agent Master'!$C:$C,"Missing"),"Missing")</f>
        <v>Missing</v>
      </c>
      <c r="L373" t="str">
        <f t="shared" si="22"/>
        <v>August</v>
      </c>
      <c r="M373" t="str">
        <f>_xlfn.XLOOKUP('Transaction Data'!D373,ProductMap[Product Code],ProductMap[Product Name])</f>
        <v>DMT</v>
      </c>
      <c r="N373" t="str">
        <f t="shared" si="23"/>
        <v>2026-08</v>
      </c>
      <c r="O373" t="str" cm="1">
        <f t="array" ref="O373">IFERROR(_xlfn.XLOOKUP(C373,AgentMaster[[#All],[Agent ID]],AgentMaster[[#All],[Agent Name]]),"")</f>
        <v>Agent 108</v>
      </c>
      <c r="P373">
        <f t="shared" si="24"/>
        <v>12</v>
      </c>
    </row>
    <row r="374" spans="1:16" x14ac:dyDescent="0.3">
      <c r="A374" t="s">
        <v>496</v>
      </c>
      <c r="B374" s="5">
        <v>46279</v>
      </c>
      <c r="C374" t="s">
        <v>70</v>
      </c>
      <c r="D374" t="s">
        <v>77</v>
      </c>
      <c r="E374">
        <v>1500</v>
      </c>
      <c r="F374" t="s">
        <v>72</v>
      </c>
      <c r="G374" t="s">
        <v>73</v>
      </c>
      <c r="H374" t="s">
        <v>74</v>
      </c>
      <c r="I374" t="str">
        <f t="shared" si="21"/>
        <v>2026-09</v>
      </c>
      <c r="J374" t="str">
        <f ca="1">IFERROR(_xludf.XLOOKUP(C374,'Agent Master'!$A:$A,'Agent Master'!$B:$B,"Missing"),"Missing")</f>
        <v>Missing</v>
      </c>
      <c r="K374" t="str">
        <f ca="1">IFERROR(_xludf.XLOOKUP(C374,'Agent Master'!$A:$A,'Agent Master'!$C:$C,"Missing"),"Missing")</f>
        <v>Missing</v>
      </c>
      <c r="L374" t="str">
        <f t="shared" si="22"/>
        <v>September</v>
      </c>
      <c r="M374" t="str">
        <f>_xlfn.XLOOKUP('Transaction Data'!D374,ProductMap[Product Code],ProductMap[Product Name])</f>
        <v>MATM</v>
      </c>
      <c r="N374" t="str">
        <f t="shared" si="23"/>
        <v>2026-09</v>
      </c>
      <c r="O374" t="str" cm="1">
        <f t="array" ref="O374">IFERROR(_xlfn.XLOOKUP(C374,AgentMaster[[#All],[Agent ID]],AgentMaster[[#All],[Agent Name]]),"")</f>
        <v>Agent 108</v>
      </c>
      <c r="P374">
        <f t="shared" si="24"/>
        <v>12</v>
      </c>
    </row>
    <row r="375" spans="1:16" x14ac:dyDescent="0.3">
      <c r="A375" t="s">
        <v>497</v>
      </c>
      <c r="B375" s="5">
        <v>46249</v>
      </c>
      <c r="C375" t="s">
        <v>161</v>
      </c>
      <c r="D375" t="s">
        <v>110</v>
      </c>
      <c r="E375">
        <v>750</v>
      </c>
      <c r="F375" t="s">
        <v>72</v>
      </c>
      <c r="G375" t="s">
        <v>73</v>
      </c>
      <c r="H375" t="s">
        <v>96</v>
      </c>
      <c r="I375" t="str">
        <f t="shared" si="21"/>
        <v>2026-08</v>
      </c>
      <c r="J375" t="str">
        <f ca="1">IFERROR(_xludf.XLOOKUP(C375,'Agent Master'!$A:$A,'Agent Master'!$B:$B,"Missing"),"Missing")</f>
        <v>Missing</v>
      </c>
      <c r="K375" t="str">
        <f ca="1">IFERROR(_xludf.XLOOKUP(C375,'Agent Master'!$A:$A,'Agent Master'!$C:$C,"Missing"),"Missing")</f>
        <v>Missing</v>
      </c>
      <c r="L375" t="str">
        <f t="shared" si="22"/>
        <v>August</v>
      </c>
      <c r="M375" t="str">
        <f>_xlfn.XLOOKUP('Transaction Data'!D375,ProductMap[Product Code],ProductMap[Product Name])</f>
        <v>DMT</v>
      </c>
      <c r="N375" t="str">
        <f t="shared" si="23"/>
        <v>2026-08</v>
      </c>
      <c r="O375" t="str" cm="1">
        <f t="array" ref="O375">IFERROR(_xlfn.XLOOKUP(C375,AgentMaster[[#All],[Agent ID]],AgentMaster[[#All],[Agent Name]]),"")</f>
        <v>Agent 109</v>
      </c>
      <c r="P375">
        <f t="shared" si="24"/>
        <v>16</v>
      </c>
    </row>
    <row r="376" spans="1:16" x14ac:dyDescent="0.3">
      <c r="A376" t="s">
        <v>498</v>
      </c>
      <c r="B376" s="5">
        <v>46261</v>
      </c>
      <c r="C376" t="s">
        <v>112</v>
      </c>
      <c r="D376" t="s">
        <v>110</v>
      </c>
      <c r="E376">
        <v>20000</v>
      </c>
      <c r="F376" t="s">
        <v>72</v>
      </c>
      <c r="G376" t="s">
        <v>73</v>
      </c>
      <c r="H376" t="s">
        <v>74</v>
      </c>
      <c r="I376" t="str">
        <f t="shared" si="21"/>
        <v>2026-08</v>
      </c>
      <c r="J376" t="str">
        <f ca="1">IFERROR(_xludf.XLOOKUP(C376,'Agent Master'!$A:$A,'Agent Master'!$B:$B,"Missing"),"Missing")</f>
        <v>Missing</v>
      </c>
      <c r="K376" t="str">
        <f ca="1">IFERROR(_xludf.XLOOKUP(C376,'Agent Master'!$A:$A,'Agent Master'!$C:$C,"Missing"),"Missing")</f>
        <v>Missing</v>
      </c>
      <c r="L376" t="str">
        <f t="shared" si="22"/>
        <v>August</v>
      </c>
      <c r="M376" t="str">
        <f>_xlfn.XLOOKUP('Transaction Data'!D376,ProductMap[Product Code],ProductMap[Product Name])</f>
        <v>DMT</v>
      </c>
      <c r="N376" t="str">
        <f t="shared" si="23"/>
        <v>2026-08</v>
      </c>
      <c r="O376" t="str" cm="1">
        <f t="array" ref="O376">IFERROR(_xlfn.XLOOKUP(C376,AgentMaster[[#All],[Agent ID]],AgentMaster[[#All],[Agent Name]]),"")</f>
        <v>Agent 136</v>
      </c>
      <c r="P376">
        <f t="shared" si="24"/>
        <v>16</v>
      </c>
    </row>
    <row r="377" spans="1:16" x14ac:dyDescent="0.3">
      <c r="A377" t="s">
        <v>499</v>
      </c>
      <c r="B377" s="5">
        <v>46283</v>
      </c>
      <c r="C377" t="s">
        <v>104</v>
      </c>
      <c r="D377" t="s">
        <v>77</v>
      </c>
      <c r="E377">
        <v>20000</v>
      </c>
      <c r="F377" t="s">
        <v>92</v>
      </c>
      <c r="G377" t="s">
        <v>73</v>
      </c>
      <c r="H377" t="s">
        <v>78</v>
      </c>
      <c r="I377" t="str">
        <f t="shared" si="21"/>
        <v>2026-09</v>
      </c>
      <c r="J377" t="str">
        <f ca="1">IFERROR(_xludf.XLOOKUP(C377,'Agent Master'!$A:$A,'Agent Master'!$B:$B,"Missing"),"Missing")</f>
        <v>Missing</v>
      </c>
      <c r="K377" t="str">
        <f ca="1">IFERROR(_xludf.XLOOKUP(C377,'Agent Master'!$A:$A,'Agent Master'!$C:$C,"Missing"),"Missing")</f>
        <v>Missing</v>
      </c>
      <c r="L377" t="str">
        <f t="shared" si="22"/>
        <v>September</v>
      </c>
      <c r="M377" t="str">
        <f>_xlfn.XLOOKUP('Transaction Data'!D377,ProductMap[Product Code],ProductMap[Product Name])</f>
        <v>MATM</v>
      </c>
      <c r="N377" t="str">
        <f t="shared" si="23"/>
        <v>2026-09</v>
      </c>
      <c r="O377" t="str" cm="1">
        <f t="array" ref="O377">IFERROR(_xlfn.XLOOKUP(C377,AgentMaster[[#All],[Agent ID]],AgentMaster[[#All],[Agent Name]]),"")</f>
        <v>Agent 116</v>
      </c>
      <c r="P377">
        <f t="shared" si="24"/>
        <v>15</v>
      </c>
    </row>
    <row r="378" spans="1:16" x14ac:dyDescent="0.3">
      <c r="A378" t="s">
        <v>500</v>
      </c>
      <c r="B378" s="5">
        <v>46268</v>
      </c>
      <c r="C378" t="s">
        <v>122</v>
      </c>
      <c r="D378" t="s">
        <v>71</v>
      </c>
      <c r="E378">
        <v>10000</v>
      </c>
      <c r="F378" t="s">
        <v>72</v>
      </c>
      <c r="G378" t="s">
        <v>73</v>
      </c>
      <c r="H378" t="s">
        <v>74</v>
      </c>
      <c r="I378" t="str">
        <f t="shared" si="21"/>
        <v>2026-09</v>
      </c>
      <c r="J378" t="str">
        <f ca="1">IFERROR(_xludf.XLOOKUP(C378,'Agent Master'!$A:$A,'Agent Master'!$B:$B,"Missing"),"Missing")</f>
        <v>Missing</v>
      </c>
      <c r="K378" t="str">
        <f ca="1">IFERROR(_xludf.XLOOKUP(C378,'Agent Master'!$A:$A,'Agent Master'!$C:$C,"Missing"),"Missing")</f>
        <v>Missing</v>
      </c>
      <c r="L378" t="str">
        <f t="shared" si="22"/>
        <v>September</v>
      </c>
      <c r="M378" t="str">
        <f>_xlfn.XLOOKUP('Transaction Data'!D378,ProductMap[Product Code],ProductMap[Product Name])</f>
        <v>AEPS</v>
      </c>
      <c r="N378" t="str">
        <f t="shared" si="23"/>
        <v>2026-09</v>
      </c>
      <c r="O378" t="str" cm="1">
        <f t="array" ref="O378">IFERROR(_xlfn.XLOOKUP(C378,AgentMaster[[#All],[Agent ID]],AgentMaster[[#All],[Agent Name]]),"")</f>
        <v>Agent 124</v>
      </c>
      <c r="P378">
        <f t="shared" si="24"/>
        <v>11</v>
      </c>
    </row>
    <row r="379" spans="1:16" x14ac:dyDescent="0.3">
      <c r="A379" t="s">
        <v>501</v>
      </c>
      <c r="B379" s="5">
        <v>46271</v>
      </c>
      <c r="C379" t="s">
        <v>129</v>
      </c>
      <c r="D379" t="s">
        <v>90</v>
      </c>
      <c r="E379">
        <v>750</v>
      </c>
      <c r="F379" t="s">
        <v>72</v>
      </c>
      <c r="G379" t="s">
        <v>73</v>
      </c>
      <c r="H379" t="s">
        <v>78</v>
      </c>
      <c r="I379" t="str">
        <f t="shared" si="21"/>
        <v>2026-09</v>
      </c>
      <c r="J379" t="str">
        <f ca="1">IFERROR(_xludf.XLOOKUP(C379,'Agent Master'!$A:$A,'Agent Master'!$B:$B,"Missing"),"Missing")</f>
        <v>Missing</v>
      </c>
      <c r="K379" t="str">
        <f ca="1">IFERROR(_xludf.XLOOKUP(C379,'Agent Master'!$A:$A,'Agent Master'!$C:$C,"Missing"),"Missing")</f>
        <v>Missing</v>
      </c>
      <c r="L379" t="str">
        <f t="shared" si="22"/>
        <v>September</v>
      </c>
      <c r="M379" t="str">
        <f>_xlfn.XLOOKUP('Transaction Data'!D379,ProductMap[Product Code],ProductMap[Product Name])</f>
        <v>UPI</v>
      </c>
      <c r="N379" t="str">
        <f t="shared" si="23"/>
        <v>2026-09</v>
      </c>
      <c r="O379" t="str" cm="1">
        <f t="array" ref="O379">IFERROR(_xlfn.XLOOKUP(C379,AgentMaster[[#All],[Agent ID]],AgentMaster[[#All],[Agent Name]]),"")</f>
        <v>Agent 135</v>
      </c>
      <c r="P379">
        <f t="shared" si="24"/>
        <v>19</v>
      </c>
    </row>
    <row r="380" spans="1:16" x14ac:dyDescent="0.3">
      <c r="A380" t="s">
        <v>502</v>
      </c>
      <c r="B380" s="5">
        <v>46242</v>
      </c>
      <c r="C380" t="s">
        <v>150</v>
      </c>
      <c r="D380" t="s">
        <v>77</v>
      </c>
      <c r="E380">
        <v>10000</v>
      </c>
      <c r="F380" t="s">
        <v>72</v>
      </c>
      <c r="G380" t="s">
        <v>73</v>
      </c>
      <c r="H380" t="s">
        <v>78</v>
      </c>
      <c r="I380" t="str">
        <f t="shared" si="21"/>
        <v>2026-08</v>
      </c>
      <c r="J380" t="str">
        <f ca="1">IFERROR(_xludf.XLOOKUP(C380,'Agent Master'!$A:$A,'Agent Master'!$B:$B,"Missing"),"Missing")</f>
        <v>Missing</v>
      </c>
      <c r="K380" t="str">
        <f ca="1">IFERROR(_xludf.XLOOKUP(C380,'Agent Master'!$A:$A,'Agent Master'!$C:$C,"Missing"),"Missing")</f>
        <v>Missing</v>
      </c>
      <c r="L380" t="str">
        <f t="shared" si="22"/>
        <v>August</v>
      </c>
      <c r="M380" t="str">
        <f>_xlfn.XLOOKUP('Transaction Data'!D380,ProductMap[Product Code],ProductMap[Product Name])</f>
        <v>MATM</v>
      </c>
      <c r="N380" t="str">
        <f t="shared" si="23"/>
        <v>2026-08</v>
      </c>
      <c r="O380" t="str" cm="1">
        <f t="array" ref="O380">IFERROR(_xlfn.XLOOKUP(C380,AgentMaster[[#All],[Agent ID]],AgentMaster[[#All],[Agent Name]]),"")</f>
        <v>Agent 114</v>
      </c>
      <c r="P380">
        <f t="shared" si="24"/>
        <v>8</v>
      </c>
    </row>
    <row r="381" spans="1:16" x14ac:dyDescent="0.3">
      <c r="A381" t="s">
        <v>503</v>
      </c>
      <c r="B381" s="5">
        <v>46286</v>
      </c>
      <c r="C381" t="s">
        <v>152</v>
      </c>
      <c r="D381" t="s">
        <v>110</v>
      </c>
      <c r="E381">
        <v>750</v>
      </c>
      <c r="F381" t="s">
        <v>72</v>
      </c>
      <c r="G381" t="s">
        <v>84</v>
      </c>
      <c r="H381" t="s">
        <v>78</v>
      </c>
      <c r="I381" t="str">
        <f t="shared" si="21"/>
        <v>2026-09</v>
      </c>
      <c r="J381" t="str">
        <f ca="1">IFERROR(_xludf.XLOOKUP(C381,'Agent Master'!$A:$A,'Agent Master'!$B:$B,"Missing"),"Missing")</f>
        <v>Missing</v>
      </c>
      <c r="K381" t="str">
        <f ca="1">IFERROR(_xludf.XLOOKUP(C381,'Agent Master'!$A:$A,'Agent Master'!$C:$C,"Missing"),"Missing")</f>
        <v>Missing</v>
      </c>
      <c r="L381" t="str">
        <f t="shared" si="22"/>
        <v>September</v>
      </c>
      <c r="M381" t="str">
        <f>_xlfn.XLOOKUP('Transaction Data'!D381,ProductMap[Product Code],ProductMap[Product Name])</f>
        <v>DMT</v>
      </c>
      <c r="N381" t="str">
        <f t="shared" si="23"/>
        <v>2026-09</v>
      </c>
      <c r="O381" t="str" cm="1">
        <f t="array" ref="O381">IFERROR(_xlfn.XLOOKUP(C381,AgentMaster[[#All],[Agent ID]],AgentMaster[[#All],[Agent Name]]),"")</f>
        <v>Agent 104</v>
      </c>
      <c r="P381">
        <f t="shared" si="24"/>
        <v>6</v>
      </c>
    </row>
    <row r="382" spans="1:16" x14ac:dyDescent="0.3">
      <c r="A382" t="s">
        <v>504</v>
      </c>
      <c r="B382" s="5">
        <v>46271</v>
      </c>
      <c r="C382" t="s">
        <v>152</v>
      </c>
      <c r="D382" t="s">
        <v>95</v>
      </c>
      <c r="E382">
        <v>5000</v>
      </c>
      <c r="F382" t="s">
        <v>72</v>
      </c>
      <c r="G382" t="s">
        <v>73</v>
      </c>
      <c r="H382" t="s">
        <v>81</v>
      </c>
      <c r="I382" t="str">
        <f t="shared" si="21"/>
        <v>2026-09</v>
      </c>
      <c r="J382" t="str">
        <f ca="1">IFERROR(_xludf.XLOOKUP(C382,'Agent Master'!$A:$A,'Agent Master'!$B:$B,"Missing"),"Missing")</f>
        <v>Missing</v>
      </c>
      <c r="K382" t="str">
        <f ca="1">IFERROR(_xludf.XLOOKUP(C382,'Agent Master'!$A:$A,'Agent Master'!$C:$C,"Missing"),"Missing")</f>
        <v>Missing</v>
      </c>
      <c r="L382" t="str">
        <f t="shared" si="22"/>
        <v>September</v>
      </c>
      <c r="M382" t="str">
        <f>_xlfn.XLOOKUP('Transaction Data'!D382,ProductMap[Product Code],ProductMap[Product Name])</f>
        <v>BBPS</v>
      </c>
      <c r="N382" t="str">
        <f t="shared" si="23"/>
        <v>2026-09</v>
      </c>
      <c r="O382" t="str" cm="1">
        <f t="array" ref="O382">IFERROR(_xlfn.XLOOKUP(C382,AgentMaster[[#All],[Agent ID]],AgentMaster[[#All],[Agent Name]]),"")</f>
        <v>Agent 104</v>
      </c>
      <c r="P382">
        <f t="shared" si="24"/>
        <v>6</v>
      </c>
    </row>
    <row r="383" spans="1:16" x14ac:dyDescent="0.3">
      <c r="A383" t="s">
        <v>505</v>
      </c>
      <c r="B383" s="5">
        <v>46260</v>
      </c>
      <c r="C383" t="s">
        <v>159</v>
      </c>
      <c r="D383" t="s">
        <v>71</v>
      </c>
      <c r="E383">
        <v>15000</v>
      </c>
      <c r="F383" t="s">
        <v>72</v>
      </c>
      <c r="G383" t="s">
        <v>73</v>
      </c>
      <c r="H383" t="s">
        <v>81</v>
      </c>
      <c r="I383" t="str">
        <f t="shared" si="21"/>
        <v>2026-08</v>
      </c>
      <c r="J383" t="str">
        <f ca="1">IFERROR(_xludf.XLOOKUP(C383,'Agent Master'!$A:$A,'Agent Master'!$B:$B,"Missing"),"Missing")</f>
        <v>Missing</v>
      </c>
      <c r="K383" t="str">
        <f ca="1">IFERROR(_xludf.XLOOKUP(C383,'Agent Master'!$A:$A,'Agent Master'!$C:$C,"Missing"),"Missing")</f>
        <v>Missing</v>
      </c>
      <c r="L383" t="str">
        <f t="shared" si="22"/>
        <v>August</v>
      </c>
      <c r="M383" t="str">
        <f>_xlfn.XLOOKUP('Transaction Data'!D383,ProductMap[Product Code],ProductMap[Product Name])</f>
        <v>AEPS</v>
      </c>
      <c r="N383" t="str">
        <f t="shared" si="23"/>
        <v>2026-08</v>
      </c>
      <c r="O383" t="str" cm="1">
        <f t="array" ref="O383">IFERROR(_xlfn.XLOOKUP(C383,AgentMaster[[#All],[Agent ID]],AgentMaster[[#All],[Agent Name]]),"")</f>
        <v>Agent 117</v>
      </c>
      <c r="P383">
        <f t="shared" si="24"/>
        <v>12</v>
      </c>
    </row>
    <row r="384" spans="1:16" x14ac:dyDescent="0.3">
      <c r="A384" t="s">
        <v>506</v>
      </c>
      <c r="B384" s="5">
        <v>46237</v>
      </c>
      <c r="C384" t="s">
        <v>139</v>
      </c>
      <c r="D384" t="s">
        <v>87</v>
      </c>
      <c r="E384">
        <v>15000</v>
      </c>
      <c r="F384" t="s">
        <v>72</v>
      </c>
      <c r="G384" t="s">
        <v>73</v>
      </c>
      <c r="H384" t="s">
        <v>81</v>
      </c>
      <c r="I384" t="str">
        <f t="shared" si="21"/>
        <v>2026-08</v>
      </c>
      <c r="J384" t="str">
        <f ca="1">IFERROR(_xludf.XLOOKUP(C384,'Agent Master'!$A:$A,'Agent Master'!$B:$B,"Missing"),"Missing")</f>
        <v>Missing</v>
      </c>
      <c r="K384" t="str">
        <f ca="1">IFERROR(_xludf.XLOOKUP(C384,'Agent Master'!$A:$A,'Agent Master'!$C:$C,"Missing"),"Missing")</f>
        <v>Missing</v>
      </c>
      <c r="L384" t="str">
        <f t="shared" si="22"/>
        <v>August</v>
      </c>
      <c r="M384" t="str">
        <f>_xlfn.XLOOKUP('Transaction Data'!D384,ProductMap[Product Code],ProductMap[Product Name])</f>
        <v>APAY</v>
      </c>
      <c r="N384" t="str">
        <f t="shared" si="23"/>
        <v>2026-08</v>
      </c>
      <c r="O384" t="str" cm="1">
        <f t="array" ref="O384">IFERROR(_xlfn.XLOOKUP(C384,AgentMaster[[#All],[Agent ID]],AgentMaster[[#All],[Agent Name]]),"")</f>
        <v>Agent 128</v>
      </c>
      <c r="P384">
        <f t="shared" si="24"/>
        <v>16</v>
      </c>
    </row>
    <row r="385" spans="1:16" x14ac:dyDescent="0.3">
      <c r="A385" t="s">
        <v>507</v>
      </c>
      <c r="B385" s="5">
        <v>46294</v>
      </c>
      <c r="C385" t="s">
        <v>108</v>
      </c>
      <c r="D385" t="s">
        <v>110</v>
      </c>
      <c r="E385">
        <v>250</v>
      </c>
      <c r="F385" t="s">
        <v>72</v>
      </c>
      <c r="G385" t="s">
        <v>84</v>
      </c>
      <c r="H385" t="s">
        <v>74</v>
      </c>
      <c r="I385" t="str">
        <f t="shared" si="21"/>
        <v>2026-09</v>
      </c>
      <c r="J385" t="str">
        <f ca="1">IFERROR(_xludf.XLOOKUP(C385,'Agent Master'!$A:$A,'Agent Master'!$B:$B,"Missing"),"Missing")</f>
        <v>Missing</v>
      </c>
      <c r="K385" t="str">
        <f ca="1">IFERROR(_xludf.XLOOKUP(C385,'Agent Master'!$A:$A,'Agent Master'!$C:$C,"Missing"),"Missing")</f>
        <v>Missing</v>
      </c>
      <c r="L385" t="str">
        <f t="shared" si="22"/>
        <v>September</v>
      </c>
      <c r="M385" t="str">
        <f>_xlfn.XLOOKUP('Transaction Data'!D385,ProductMap[Product Code],ProductMap[Product Name])</f>
        <v>DMT</v>
      </c>
      <c r="N385" t="str">
        <f t="shared" si="23"/>
        <v>2026-09</v>
      </c>
      <c r="O385" t="str" cm="1">
        <f t="array" ref="O385">IFERROR(_xlfn.XLOOKUP(C385,AgentMaster[[#All],[Agent ID]],AgentMaster[[#All],[Agent Name]]),"")</f>
        <v>Agent 105</v>
      </c>
      <c r="P385">
        <f t="shared" si="24"/>
        <v>8</v>
      </c>
    </row>
    <row r="386" spans="1:16" x14ac:dyDescent="0.3">
      <c r="A386" t="s">
        <v>508</v>
      </c>
      <c r="B386" s="5">
        <v>46284</v>
      </c>
      <c r="C386" t="s">
        <v>161</v>
      </c>
      <c r="D386" t="s">
        <v>77</v>
      </c>
      <c r="E386">
        <v>15000</v>
      </c>
      <c r="F386" t="s">
        <v>72</v>
      </c>
      <c r="G386" t="s">
        <v>84</v>
      </c>
      <c r="H386" t="s">
        <v>78</v>
      </c>
      <c r="I386" t="str">
        <f t="shared" ref="I386:I449" si="25">TEXT(B386,"yyyy-mm")</f>
        <v>2026-09</v>
      </c>
      <c r="J386" t="str">
        <f ca="1">IFERROR(_xludf.XLOOKUP(C386,'Agent Master'!$A:$A,'Agent Master'!$B:$B,"Missing"),"Missing")</f>
        <v>Missing</v>
      </c>
      <c r="K386" t="str">
        <f ca="1">IFERROR(_xludf.XLOOKUP(C386,'Agent Master'!$A:$A,'Agent Master'!$C:$C,"Missing"),"Missing")</f>
        <v>Missing</v>
      </c>
      <c r="L386" t="str">
        <f t="shared" si="22"/>
        <v>September</v>
      </c>
      <c r="M386" t="str">
        <f>_xlfn.XLOOKUP('Transaction Data'!D386,ProductMap[Product Code],ProductMap[Product Name])</f>
        <v>MATM</v>
      </c>
      <c r="N386" t="str">
        <f t="shared" si="23"/>
        <v>2026-09</v>
      </c>
      <c r="O386" t="str" cm="1">
        <f t="array" ref="O386">IFERROR(_xlfn.XLOOKUP(C386,AgentMaster[[#All],[Agent ID]],AgentMaster[[#All],[Agent Name]]),"")</f>
        <v>Agent 109</v>
      </c>
      <c r="P386">
        <f t="shared" si="24"/>
        <v>16</v>
      </c>
    </row>
    <row r="387" spans="1:16" x14ac:dyDescent="0.3">
      <c r="A387" t="s">
        <v>509</v>
      </c>
      <c r="B387" s="5">
        <v>46263</v>
      </c>
      <c r="C387" t="s">
        <v>147</v>
      </c>
      <c r="D387" t="s">
        <v>110</v>
      </c>
      <c r="E387">
        <v>500</v>
      </c>
      <c r="F387" t="s">
        <v>72</v>
      </c>
      <c r="G387" t="s">
        <v>73</v>
      </c>
      <c r="H387" t="s">
        <v>96</v>
      </c>
      <c r="I387" t="str">
        <f t="shared" si="25"/>
        <v>2026-08</v>
      </c>
      <c r="J387" t="str">
        <f ca="1">IFERROR(_xludf.XLOOKUP(C387,'Agent Master'!$A:$A,'Agent Master'!$B:$B,"Missing"),"Missing")</f>
        <v>Missing</v>
      </c>
      <c r="K387" t="str">
        <f ca="1">IFERROR(_xludf.XLOOKUP(C387,'Agent Master'!$A:$A,'Agent Master'!$C:$C,"Missing"),"Missing")</f>
        <v>Missing</v>
      </c>
      <c r="L387" t="str">
        <f t="shared" ref="L387:L450" si="26">TEXT(B387,"mmmm")</f>
        <v>August</v>
      </c>
      <c r="M387" t="str">
        <f>_xlfn.XLOOKUP('Transaction Data'!D387,ProductMap[Product Code],ProductMap[Product Name])</f>
        <v>DMT</v>
      </c>
      <c r="N387" t="str">
        <f t="shared" ref="N387:N450" si="27">TEXT(B387,"yyyy-mm")</f>
        <v>2026-08</v>
      </c>
      <c r="O387" t="str" cm="1">
        <f t="array" ref="O387">IFERROR(_xlfn.XLOOKUP(C387,AgentMaster[[#All],[Agent ID]],AgentMaster[[#All],[Agent Name]]),"")</f>
        <v>Agent 125</v>
      </c>
      <c r="P387">
        <f t="shared" ref="P387:P450" si="28">COUNTIFS(O:O,O387,F:F,"Success")</f>
        <v>7</v>
      </c>
    </row>
    <row r="388" spans="1:16" x14ac:dyDescent="0.3">
      <c r="A388" t="s">
        <v>510</v>
      </c>
      <c r="B388" s="5">
        <v>46242</v>
      </c>
      <c r="C388" t="s">
        <v>178</v>
      </c>
      <c r="D388" t="s">
        <v>95</v>
      </c>
      <c r="E388">
        <v>2500</v>
      </c>
      <c r="F388" t="s">
        <v>72</v>
      </c>
      <c r="G388" t="s">
        <v>73</v>
      </c>
      <c r="H388" t="s">
        <v>74</v>
      </c>
      <c r="I388" t="str">
        <f t="shared" si="25"/>
        <v>2026-08</v>
      </c>
      <c r="J388" t="str">
        <f ca="1">IFERROR(_xludf.XLOOKUP(C388,'Agent Master'!$A:$A,'Agent Master'!$B:$B,"Missing"),"Missing")</f>
        <v>Missing</v>
      </c>
      <c r="K388" t="str">
        <f ca="1">IFERROR(_xludf.XLOOKUP(C388,'Agent Master'!$A:$A,'Agent Master'!$C:$C,"Missing"),"Missing")</f>
        <v>Missing</v>
      </c>
      <c r="L388" t="str">
        <f t="shared" si="26"/>
        <v>August</v>
      </c>
      <c r="M388" t="str">
        <f>_xlfn.XLOOKUP('Transaction Data'!D388,ProductMap[Product Code],ProductMap[Product Name])</f>
        <v>BBPS</v>
      </c>
      <c r="N388" t="str">
        <f t="shared" si="27"/>
        <v>2026-08</v>
      </c>
      <c r="O388" t="str" cm="1">
        <f t="array" ref="O388">IFERROR(_xlfn.XLOOKUP(C388,AgentMaster[[#All],[Agent ID]],AgentMaster[[#All],[Agent Name]]),"")</f>
        <v>Agent 112</v>
      </c>
      <c r="P388">
        <f t="shared" si="28"/>
        <v>7</v>
      </c>
    </row>
    <row r="389" spans="1:16" x14ac:dyDescent="0.3">
      <c r="A389" t="s">
        <v>511</v>
      </c>
      <c r="B389" s="5">
        <v>46288</v>
      </c>
      <c r="C389" t="s">
        <v>117</v>
      </c>
      <c r="D389" t="s">
        <v>71</v>
      </c>
      <c r="E389">
        <v>1500</v>
      </c>
      <c r="F389" t="s">
        <v>72</v>
      </c>
      <c r="G389" t="s">
        <v>73</v>
      </c>
      <c r="H389" t="s">
        <v>78</v>
      </c>
      <c r="I389" t="str">
        <f t="shared" si="25"/>
        <v>2026-09</v>
      </c>
      <c r="J389" t="str">
        <f ca="1">IFERROR(_xludf.XLOOKUP(C389,'Agent Master'!$A:$A,'Agent Master'!$B:$B,"Missing"),"Missing")</f>
        <v>Missing</v>
      </c>
      <c r="K389" t="str">
        <f ca="1">IFERROR(_xludf.XLOOKUP(C389,'Agent Master'!$A:$A,'Agent Master'!$C:$C,"Missing"),"Missing")</f>
        <v>Missing</v>
      </c>
      <c r="L389" t="str">
        <f t="shared" si="26"/>
        <v>September</v>
      </c>
      <c r="M389" t="str">
        <f>_xlfn.XLOOKUP('Transaction Data'!D389,ProductMap[Product Code],ProductMap[Product Name])</f>
        <v>AEPS</v>
      </c>
      <c r="N389" t="str">
        <f t="shared" si="27"/>
        <v>2026-09</v>
      </c>
      <c r="O389" t="str" cm="1">
        <f t="array" ref="O389">IFERROR(_xlfn.XLOOKUP(C389,AgentMaster[[#All],[Agent ID]],AgentMaster[[#All],[Agent Name]]),"")</f>
        <v>Agent 101</v>
      </c>
      <c r="P389">
        <f t="shared" si="28"/>
        <v>6</v>
      </c>
    </row>
    <row r="390" spans="1:16" x14ac:dyDescent="0.3">
      <c r="A390" t="s">
        <v>512</v>
      </c>
      <c r="B390" s="5">
        <v>46269</v>
      </c>
      <c r="C390" t="s">
        <v>147</v>
      </c>
      <c r="D390" t="s">
        <v>90</v>
      </c>
      <c r="E390">
        <v>1000</v>
      </c>
      <c r="F390" t="s">
        <v>72</v>
      </c>
      <c r="G390" t="s">
        <v>84</v>
      </c>
      <c r="H390" t="s">
        <v>74</v>
      </c>
      <c r="I390" t="str">
        <f t="shared" si="25"/>
        <v>2026-09</v>
      </c>
      <c r="J390" t="str">
        <f ca="1">IFERROR(_xludf.XLOOKUP(C390,'Agent Master'!$A:$A,'Agent Master'!$B:$B,"Missing"),"Missing")</f>
        <v>Missing</v>
      </c>
      <c r="K390" t="str">
        <f ca="1">IFERROR(_xludf.XLOOKUP(C390,'Agent Master'!$A:$A,'Agent Master'!$C:$C,"Missing"),"Missing")</f>
        <v>Missing</v>
      </c>
      <c r="L390" t="str">
        <f t="shared" si="26"/>
        <v>September</v>
      </c>
      <c r="M390" t="str">
        <f>_xlfn.XLOOKUP('Transaction Data'!D390,ProductMap[Product Code],ProductMap[Product Name])</f>
        <v>UPI</v>
      </c>
      <c r="N390" t="str">
        <f t="shared" si="27"/>
        <v>2026-09</v>
      </c>
      <c r="O390" t="str" cm="1">
        <f t="array" ref="O390">IFERROR(_xlfn.XLOOKUP(C390,AgentMaster[[#All],[Agent ID]],AgentMaster[[#All],[Agent Name]]),"")</f>
        <v>Agent 125</v>
      </c>
      <c r="P390">
        <f t="shared" si="28"/>
        <v>7</v>
      </c>
    </row>
    <row r="391" spans="1:16" x14ac:dyDescent="0.3">
      <c r="A391" t="s">
        <v>513</v>
      </c>
      <c r="B391" s="5">
        <v>46252</v>
      </c>
      <c r="C391" t="s">
        <v>83</v>
      </c>
      <c r="D391" t="s">
        <v>77</v>
      </c>
      <c r="E391">
        <v>20000</v>
      </c>
      <c r="F391" t="s">
        <v>72</v>
      </c>
      <c r="G391" t="s">
        <v>73</v>
      </c>
      <c r="H391" t="s">
        <v>78</v>
      </c>
      <c r="I391" t="str">
        <f t="shared" si="25"/>
        <v>2026-08</v>
      </c>
      <c r="J391" t="str">
        <f ca="1">IFERROR(_xludf.XLOOKUP(C391,'Agent Master'!$A:$A,'Agent Master'!$B:$B,"Missing"),"Missing")</f>
        <v>Missing</v>
      </c>
      <c r="K391" t="str">
        <f ca="1">IFERROR(_xludf.XLOOKUP(C391,'Agent Master'!$A:$A,'Agent Master'!$C:$C,"Missing"),"Missing")</f>
        <v>Missing</v>
      </c>
      <c r="L391" t="str">
        <f t="shared" si="26"/>
        <v>August</v>
      </c>
      <c r="M391" t="str">
        <f>_xlfn.XLOOKUP('Transaction Data'!D391,ProductMap[Product Code],ProductMap[Product Name])</f>
        <v>MATM</v>
      </c>
      <c r="N391" t="str">
        <f t="shared" si="27"/>
        <v>2026-08</v>
      </c>
      <c r="O391" t="str" cm="1">
        <f t="array" ref="O391">IFERROR(_xlfn.XLOOKUP(C391,AgentMaster[[#All],[Agent ID]],AgentMaster[[#All],[Agent Name]]),"")</f>
        <v>Agent 113</v>
      </c>
      <c r="P391">
        <f t="shared" si="28"/>
        <v>12</v>
      </c>
    </row>
    <row r="392" spans="1:16" x14ac:dyDescent="0.3">
      <c r="A392" t="s">
        <v>514</v>
      </c>
      <c r="B392" s="5">
        <v>46274</v>
      </c>
      <c r="C392" t="s">
        <v>80</v>
      </c>
      <c r="D392" t="s">
        <v>90</v>
      </c>
      <c r="E392">
        <v>1000</v>
      </c>
      <c r="F392" t="s">
        <v>72</v>
      </c>
      <c r="G392" t="s">
        <v>73</v>
      </c>
      <c r="H392" t="s">
        <v>81</v>
      </c>
      <c r="I392" t="str">
        <f t="shared" si="25"/>
        <v>2026-09</v>
      </c>
      <c r="J392" t="str">
        <f ca="1">IFERROR(_xludf.XLOOKUP(C392,'Agent Master'!$A:$A,'Agent Master'!$B:$B,"Missing"),"Missing")</f>
        <v>Missing</v>
      </c>
      <c r="K392" t="str">
        <f ca="1">IFERROR(_xludf.XLOOKUP(C392,'Agent Master'!$A:$A,'Agent Master'!$C:$C,"Missing"),"Missing")</f>
        <v>Missing</v>
      </c>
      <c r="L392" t="str">
        <f t="shared" si="26"/>
        <v>September</v>
      </c>
      <c r="M392" t="str">
        <f>_xlfn.XLOOKUP('Transaction Data'!D392,ProductMap[Product Code],ProductMap[Product Name])</f>
        <v>UPI</v>
      </c>
      <c r="N392" t="str">
        <f t="shared" si="27"/>
        <v>2026-09</v>
      </c>
      <c r="O392" t="str" cm="1">
        <f t="array" ref="O392">IFERROR(_xlfn.XLOOKUP(C392,AgentMaster[[#All],[Agent ID]],AgentMaster[[#All],[Agent Name]]),"")</f>
        <v>Agent 102</v>
      </c>
      <c r="P392">
        <f t="shared" si="28"/>
        <v>13</v>
      </c>
    </row>
    <row r="393" spans="1:16" x14ac:dyDescent="0.3">
      <c r="A393" t="s">
        <v>515</v>
      </c>
      <c r="B393" s="5">
        <v>46263</v>
      </c>
      <c r="C393" t="s">
        <v>255</v>
      </c>
      <c r="D393" t="s">
        <v>77</v>
      </c>
      <c r="E393">
        <v>15000</v>
      </c>
      <c r="F393" t="s">
        <v>72</v>
      </c>
      <c r="G393" t="s">
        <v>73</v>
      </c>
      <c r="H393" t="s">
        <v>81</v>
      </c>
      <c r="I393" t="str">
        <f t="shared" si="25"/>
        <v>2026-08</v>
      </c>
      <c r="J393" t="str">
        <f ca="1">IFERROR(_xludf.XLOOKUP(C393,'Agent Master'!$A:$A,'Agent Master'!$B:$B,"Missing"),"Missing")</f>
        <v>Missing</v>
      </c>
      <c r="K393" t="str">
        <f ca="1">IFERROR(_xludf.XLOOKUP(C393,'Agent Master'!$A:$A,'Agent Master'!$C:$C,"Missing"),"Missing")</f>
        <v>Missing</v>
      </c>
      <c r="L393" t="str">
        <f t="shared" si="26"/>
        <v>August</v>
      </c>
      <c r="M393" t="str">
        <f>_xlfn.XLOOKUP('Transaction Data'!D393,ProductMap[Product Code],ProductMap[Product Name])</f>
        <v>MATM</v>
      </c>
      <c r="N393" t="str">
        <f t="shared" si="27"/>
        <v>2026-08</v>
      </c>
      <c r="O393" t="str" cm="1">
        <f t="array" ref="O393">IFERROR(_xlfn.XLOOKUP(C393,AgentMaster[[#All],[Agent ID]],AgentMaster[[#All],[Agent Name]]),"")</f>
        <v>Agent 139</v>
      </c>
      <c r="P393">
        <f t="shared" si="28"/>
        <v>10</v>
      </c>
    </row>
    <row r="394" spans="1:16" x14ac:dyDescent="0.3">
      <c r="A394" t="s">
        <v>516</v>
      </c>
      <c r="B394" s="5">
        <v>46260</v>
      </c>
      <c r="C394" t="s">
        <v>172</v>
      </c>
      <c r="D394" t="s">
        <v>90</v>
      </c>
      <c r="E394">
        <v>7500</v>
      </c>
      <c r="F394" t="s">
        <v>72</v>
      </c>
      <c r="G394" t="s">
        <v>73</v>
      </c>
      <c r="H394" t="s">
        <v>74</v>
      </c>
      <c r="I394" t="str">
        <f t="shared" si="25"/>
        <v>2026-08</v>
      </c>
      <c r="J394" t="str">
        <f ca="1">IFERROR(_xludf.XLOOKUP(C394,'Agent Master'!$A:$A,'Agent Master'!$B:$B,"Missing"),"Missing")</f>
        <v>Missing</v>
      </c>
      <c r="K394" t="str">
        <f ca="1">IFERROR(_xludf.XLOOKUP(C394,'Agent Master'!$A:$A,'Agent Master'!$C:$C,"Missing"),"Missing")</f>
        <v>Missing</v>
      </c>
      <c r="L394" t="str">
        <f t="shared" si="26"/>
        <v>August</v>
      </c>
      <c r="M394" t="str">
        <f>_xlfn.XLOOKUP('Transaction Data'!D394,ProductMap[Product Code],ProductMap[Product Name])</f>
        <v>UPI</v>
      </c>
      <c r="N394" t="str">
        <f t="shared" si="27"/>
        <v>2026-08</v>
      </c>
      <c r="O394" t="str" cm="1">
        <f t="array" ref="O394">IFERROR(_xlfn.XLOOKUP(C394,AgentMaster[[#All],[Agent ID]],AgentMaster[[#All],[Agent Name]]),"")</f>
        <v>Agent 129</v>
      </c>
      <c r="P394">
        <f t="shared" si="28"/>
        <v>18</v>
      </c>
    </row>
    <row r="395" spans="1:16" x14ac:dyDescent="0.3">
      <c r="A395" t="s">
        <v>517</v>
      </c>
      <c r="B395" s="5">
        <v>46267</v>
      </c>
      <c r="C395" t="s">
        <v>242</v>
      </c>
      <c r="D395" t="s">
        <v>90</v>
      </c>
      <c r="E395">
        <v>15000</v>
      </c>
      <c r="F395" t="s">
        <v>92</v>
      </c>
      <c r="G395" t="s">
        <v>84</v>
      </c>
      <c r="H395" t="s">
        <v>96</v>
      </c>
      <c r="I395" t="str">
        <f t="shared" si="25"/>
        <v>2026-09</v>
      </c>
      <c r="J395" t="str">
        <f ca="1">IFERROR(_xludf.XLOOKUP(C395,'Agent Master'!$A:$A,'Agent Master'!$B:$B,"Missing"),"Missing")</f>
        <v>Missing</v>
      </c>
      <c r="K395" t="str">
        <f ca="1">IFERROR(_xludf.XLOOKUP(C395,'Agent Master'!$A:$A,'Agent Master'!$C:$C,"Missing"),"Missing")</f>
        <v>Missing</v>
      </c>
      <c r="L395" t="str">
        <f t="shared" si="26"/>
        <v>September</v>
      </c>
      <c r="M395" t="str">
        <f>_xlfn.XLOOKUP('Transaction Data'!D395,ProductMap[Product Code],ProductMap[Product Name])</f>
        <v>UPI</v>
      </c>
      <c r="N395" t="str">
        <f t="shared" si="27"/>
        <v>2026-09</v>
      </c>
      <c r="O395" t="str" cm="1">
        <f t="array" ref="O395">IFERROR(_xlfn.XLOOKUP(C395,AgentMaster[[#All],[Agent ID]],AgentMaster[[#All],[Agent Name]]),"")</f>
        <v>Agent 119</v>
      </c>
      <c r="P395">
        <f t="shared" si="28"/>
        <v>13</v>
      </c>
    </row>
    <row r="396" spans="1:16" x14ac:dyDescent="0.3">
      <c r="A396" t="s">
        <v>518</v>
      </c>
      <c r="B396" s="5">
        <v>46250</v>
      </c>
      <c r="C396" t="s">
        <v>193</v>
      </c>
      <c r="D396" t="s">
        <v>90</v>
      </c>
      <c r="E396">
        <v>12500</v>
      </c>
      <c r="F396" t="s">
        <v>72</v>
      </c>
      <c r="G396" t="s">
        <v>73</v>
      </c>
      <c r="H396" t="s">
        <v>78</v>
      </c>
      <c r="I396" t="str">
        <f t="shared" si="25"/>
        <v>2026-08</v>
      </c>
      <c r="J396" t="str">
        <f ca="1">IFERROR(_xludf.XLOOKUP(C396,'Agent Master'!$A:$A,'Agent Master'!$B:$B,"Missing"),"Missing")</f>
        <v>Missing</v>
      </c>
      <c r="K396" t="str">
        <f ca="1">IFERROR(_xludf.XLOOKUP(C396,'Agent Master'!$A:$A,'Agent Master'!$C:$C,"Missing"),"Missing")</f>
        <v>Missing</v>
      </c>
      <c r="L396" t="str">
        <f t="shared" si="26"/>
        <v>August</v>
      </c>
      <c r="M396" t="str">
        <f>_xlfn.XLOOKUP('Transaction Data'!D396,ProductMap[Product Code],ProductMap[Product Name])</f>
        <v>UPI</v>
      </c>
      <c r="N396" t="str">
        <f t="shared" si="27"/>
        <v>2026-08</v>
      </c>
      <c r="O396" t="str" cm="1">
        <f t="array" ref="O396">IFERROR(_xlfn.XLOOKUP(C396,AgentMaster[[#All],[Agent ID]],AgentMaster[[#All],[Agent Name]]),"")</f>
        <v>Agent 120</v>
      </c>
      <c r="P396">
        <f t="shared" si="28"/>
        <v>8</v>
      </c>
    </row>
    <row r="397" spans="1:16" x14ac:dyDescent="0.3">
      <c r="A397" t="s">
        <v>519</v>
      </c>
      <c r="B397" s="5">
        <v>46254</v>
      </c>
      <c r="C397" t="s">
        <v>89</v>
      </c>
      <c r="D397" t="s">
        <v>71</v>
      </c>
      <c r="E397">
        <v>7500</v>
      </c>
      <c r="F397" t="s">
        <v>92</v>
      </c>
      <c r="G397" t="s">
        <v>73</v>
      </c>
      <c r="H397" t="s">
        <v>74</v>
      </c>
      <c r="I397" t="str">
        <f t="shared" si="25"/>
        <v>2026-08</v>
      </c>
      <c r="J397" t="str">
        <f ca="1">IFERROR(_xludf.XLOOKUP(C397,'Agent Master'!$A:$A,'Agent Master'!$B:$B,"Missing"),"Missing")</f>
        <v>Missing</v>
      </c>
      <c r="K397" t="str">
        <f ca="1">IFERROR(_xludf.XLOOKUP(C397,'Agent Master'!$A:$A,'Agent Master'!$C:$C,"Missing"),"Missing")</f>
        <v>Missing</v>
      </c>
      <c r="L397" t="str">
        <f t="shared" si="26"/>
        <v>August</v>
      </c>
      <c r="M397" t="str">
        <f>_xlfn.XLOOKUP('Transaction Data'!D397,ProductMap[Product Code],ProductMap[Product Name])</f>
        <v>AEPS</v>
      </c>
      <c r="N397" t="str">
        <f t="shared" si="27"/>
        <v>2026-08</v>
      </c>
      <c r="O397" t="str" cm="1">
        <f t="array" ref="O397">IFERROR(_xlfn.XLOOKUP(C397,AgentMaster[[#All],[Agent ID]],AgentMaster[[#All],[Agent Name]]),"")</f>
        <v>Agent 118</v>
      </c>
      <c r="P397">
        <f t="shared" si="28"/>
        <v>11</v>
      </c>
    </row>
    <row r="398" spans="1:16" x14ac:dyDescent="0.3">
      <c r="A398" t="s">
        <v>520</v>
      </c>
      <c r="B398" s="5">
        <v>46275</v>
      </c>
      <c r="C398" t="s">
        <v>139</v>
      </c>
      <c r="D398" t="s">
        <v>95</v>
      </c>
      <c r="E398">
        <v>5000</v>
      </c>
      <c r="F398" t="s">
        <v>72</v>
      </c>
      <c r="G398" t="s">
        <v>84</v>
      </c>
      <c r="H398" t="s">
        <v>78</v>
      </c>
      <c r="I398" t="str">
        <f t="shared" si="25"/>
        <v>2026-09</v>
      </c>
      <c r="J398" t="str">
        <f ca="1">IFERROR(_xludf.XLOOKUP(C398,'Agent Master'!$A:$A,'Agent Master'!$B:$B,"Missing"),"Missing")</f>
        <v>Missing</v>
      </c>
      <c r="K398" t="str">
        <f ca="1">IFERROR(_xludf.XLOOKUP(C398,'Agent Master'!$A:$A,'Agent Master'!$C:$C,"Missing"),"Missing")</f>
        <v>Missing</v>
      </c>
      <c r="L398" t="str">
        <f t="shared" si="26"/>
        <v>September</v>
      </c>
      <c r="M398" t="str">
        <f>_xlfn.XLOOKUP('Transaction Data'!D398,ProductMap[Product Code],ProductMap[Product Name])</f>
        <v>BBPS</v>
      </c>
      <c r="N398" t="str">
        <f t="shared" si="27"/>
        <v>2026-09</v>
      </c>
      <c r="O398" t="str" cm="1">
        <f t="array" ref="O398">IFERROR(_xlfn.XLOOKUP(C398,AgentMaster[[#All],[Agent ID]],AgentMaster[[#All],[Agent Name]]),"")</f>
        <v>Agent 128</v>
      </c>
      <c r="P398">
        <f t="shared" si="28"/>
        <v>16</v>
      </c>
    </row>
    <row r="399" spans="1:16" x14ac:dyDescent="0.3">
      <c r="A399" t="s">
        <v>521</v>
      </c>
      <c r="B399" s="5">
        <v>46285</v>
      </c>
      <c r="C399" t="s">
        <v>189</v>
      </c>
      <c r="D399" t="s">
        <v>87</v>
      </c>
      <c r="E399">
        <v>15000</v>
      </c>
      <c r="F399" t="s">
        <v>72</v>
      </c>
      <c r="G399" t="s">
        <v>84</v>
      </c>
      <c r="H399" t="s">
        <v>74</v>
      </c>
      <c r="I399" t="str">
        <f t="shared" si="25"/>
        <v>2026-09</v>
      </c>
      <c r="J399" t="str">
        <f ca="1">IFERROR(_xludf.XLOOKUP(C399,'Agent Master'!$A:$A,'Agent Master'!$B:$B,"Missing"),"Missing")</f>
        <v>Missing</v>
      </c>
      <c r="K399" t="str">
        <f ca="1">IFERROR(_xludf.XLOOKUP(C399,'Agent Master'!$A:$A,'Agent Master'!$C:$C,"Missing"),"Missing")</f>
        <v>Missing</v>
      </c>
      <c r="L399" t="str">
        <f t="shared" si="26"/>
        <v>September</v>
      </c>
      <c r="M399" t="str">
        <f>_xlfn.XLOOKUP('Transaction Data'!D399,ProductMap[Product Code],ProductMap[Product Name])</f>
        <v>APAY</v>
      </c>
      <c r="N399" t="str">
        <f t="shared" si="27"/>
        <v>2026-09</v>
      </c>
      <c r="O399" t="str" cm="1">
        <f t="array" ref="O399">IFERROR(_xlfn.XLOOKUP(C399,AgentMaster[[#All],[Agent ID]],AgentMaster[[#All],[Agent Name]]),"")</f>
        <v>Agent 134</v>
      </c>
      <c r="P399">
        <f t="shared" si="28"/>
        <v>6</v>
      </c>
    </row>
    <row r="400" spans="1:16" x14ac:dyDescent="0.3">
      <c r="A400" t="s">
        <v>522</v>
      </c>
      <c r="B400" s="5">
        <v>46254</v>
      </c>
      <c r="C400" t="s">
        <v>147</v>
      </c>
      <c r="D400" t="s">
        <v>90</v>
      </c>
      <c r="E400">
        <v>20000</v>
      </c>
      <c r="F400" t="s">
        <v>72</v>
      </c>
      <c r="G400" t="s">
        <v>84</v>
      </c>
      <c r="H400" t="s">
        <v>74</v>
      </c>
      <c r="I400" t="str">
        <f t="shared" si="25"/>
        <v>2026-08</v>
      </c>
      <c r="J400" t="str">
        <f ca="1">IFERROR(_xludf.XLOOKUP(C400,'Agent Master'!$A:$A,'Agent Master'!$B:$B,"Missing"),"Missing")</f>
        <v>Missing</v>
      </c>
      <c r="K400" t="str">
        <f ca="1">IFERROR(_xludf.XLOOKUP(C400,'Agent Master'!$A:$A,'Agent Master'!$C:$C,"Missing"),"Missing")</f>
        <v>Missing</v>
      </c>
      <c r="L400" t="str">
        <f t="shared" si="26"/>
        <v>August</v>
      </c>
      <c r="M400" t="str">
        <f>_xlfn.XLOOKUP('Transaction Data'!D400,ProductMap[Product Code],ProductMap[Product Name])</f>
        <v>UPI</v>
      </c>
      <c r="N400" t="str">
        <f t="shared" si="27"/>
        <v>2026-08</v>
      </c>
      <c r="O400" t="str" cm="1">
        <f t="array" ref="O400">IFERROR(_xlfn.XLOOKUP(C400,AgentMaster[[#All],[Agent ID]],AgentMaster[[#All],[Agent Name]]),"")</f>
        <v>Agent 125</v>
      </c>
      <c r="P400">
        <f t="shared" si="28"/>
        <v>7</v>
      </c>
    </row>
    <row r="401" spans="1:16" x14ac:dyDescent="0.3">
      <c r="A401" t="s">
        <v>523</v>
      </c>
      <c r="B401" s="5">
        <v>46289</v>
      </c>
      <c r="C401" t="s">
        <v>100</v>
      </c>
      <c r="D401" t="s">
        <v>87</v>
      </c>
      <c r="E401">
        <v>15000</v>
      </c>
      <c r="F401" t="s">
        <v>72</v>
      </c>
      <c r="G401" t="s">
        <v>84</v>
      </c>
      <c r="H401" t="s">
        <v>81</v>
      </c>
      <c r="I401" t="str">
        <f t="shared" si="25"/>
        <v>2026-09</v>
      </c>
      <c r="J401" t="str">
        <f ca="1">IFERROR(_xludf.XLOOKUP(C401,'Agent Master'!$A:$A,'Agent Master'!$B:$B,"Missing"),"Missing")</f>
        <v>Missing</v>
      </c>
      <c r="K401" t="str">
        <f ca="1">IFERROR(_xludf.XLOOKUP(C401,'Agent Master'!$A:$A,'Agent Master'!$C:$C,"Missing"),"Missing")</f>
        <v>Missing</v>
      </c>
      <c r="L401" t="str">
        <f t="shared" si="26"/>
        <v>September</v>
      </c>
      <c r="M401" t="str">
        <f>_xlfn.XLOOKUP('Transaction Data'!D401,ProductMap[Product Code],ProductMap[Product Name])</f>
        <v>APAY</v>
      </c>
      <c r="N401" t="str">
        <f t="shared" si="27"/>
        <v>2026-09</v>
      </c>
      <c r="O401" t="str" cm="1">
        <f t="array" ref="O401">IFERROR(_xlfn.XLOOKUP(C401,AgentMaster[[#All],[Agent ID]],AgentMaster[[#All],[Agent Name]]),"")</f>
        <v>Agent 115</v>
      </c>
      <c r="P401">
        <f t="shared" si="28"/>
        <v>11</v>
      </c>
    </row>
    <row r="402" spans="1:16" x14ac:dyDescent="0.3">
      <c r="A402" t="s">
        <v>524</v>
      </c>
      <c r="B402" s="5">
        <v>46270</v>
      </c>
      <c r="C402" t="s">
        <v>180</v>
      </c>
      <c r="D402" t="s">
        <v>110</v>
      </c>
      <c r="E402">
        <v>7500</v>
      </c>
      <c r="F402" t="s">
        <v>72</v>
      </c>
      <c r="G402" t="s">
        <v>73</v>
      </c>
      <c r="H402" t="s">
        <v>78</v>
      </c>
      <c r="I402" t="str">
        <f t="shared" si="25"/>
        <v>2026-09</v>
      </c>
      <c r="J402" t="str">
        <f ca="1">IFERROR(_xludf.XLOOKUP(C402,'Agent Master'!$A:$A,'Agent Master'!$B:$B,"Missing"),"Missing")</f>
        <v>Missing</v>
      </c>
      <c r="K402" t="str">
        <f ca="1">IFERROR(_xludf.XLOOKUP(C402,'Agent Master'!$A:$A,'Agent Master'!$C:$C,"Missing"),"Missing")</f>
        <v>Missing</v>
      </c>
      <c r="L402" t="str">
        <f t="shared" si="26"/>
        <v>September</v>
      </c>
      <c r="M402" t="str">
        <f>_xlfn.XLOOKUP('Transaction Data'!D402,ProductMap[Product Code],ProductMap[Product Name])</f>
        <v>DMT</v>
      </c>
      <c r="N402" t="str">
        <f t="shared" si="27"/>
        <v>2026-09</v>
      </c>
      <c r="O402" t="str" cm="1">
        <f t="array" ref="O402">IFERROR(_xlfn.XLOOKUP(C402,AgentMaster[[#All],[Agent ID]],AgentMaster[[#All],[Agent Name]]),"")</f>
        <v>Agent 127</v>
      </c>
      <c r="P402">
        <f t="shared" si="28"/>
        <v>11</v>
      </c>
    </row>
    <row r="403" spans="1:16" x14ac:dyDescent="0.3">
      <c r="A403" t="s">
        <v>525</v>
      </c>
      <c r="B403" s="5">
        <v>46250</v>
      </c>
      <c r="C403" t="s">
        <v>159</v>
      </c>
      <c r="D403" t="s">
        <v>90</v>
      </c>
      <c r="E403">
        <v>2000</v>
      </c>
      <c r="F403" t="s">
        <v>72</v>
      </c>
      <c r="G403" t="s">
        <v>84</v>
      </c>
      <c r="H403" t="s">
        <v>96</v>
      </c>
      <c r="I403" t="str">
        <f t="shared" si="25"/>
        <v>2026-08</v>
      </c>
      <c r="J403" t="str">
        <f ca="1">IFERROR(_xludf.XLOOKUP(C403,'Agent Master'!$A:$A,'Agent Master'!$B:$B,"Missing"),"Missing")</f>
        <v>Missing</v>
      </c>
      <c r="K403" t="str">
        <f ca="1">IFERROR(_xludf.XLOOKUP(C403,'Agent Master'!$A:$A,'Agent Master'!$C:$C,"Missing"),"Missing")</f>
        <v>Missing</v>
      </c>
      <c r="L403" t="str">
        <f t="shared" si="26"/>
        <v>August</v>
      </c>
      <c r="M403" t="str">
        <f>_xlfn.XLOOKUP('Transaction Data'!D403,ProductMap[Product Code],ProductMap[Product Name])</f>
        <v>UPI</v>
      </c>
      <c r="N403" t="str">
        <f t="shared" si="27"/>
        <v>2026-08</v>
      </c>
      <c r="O403" t="str" cm="1">
        <f t="array" ref="O403">IFERROR(_xlfn.XLOOKUP(C403,AgentMaster[[#All],[Agent ID]],AgentMaster[[#All],[Agent Name]]),"")</f>
        <v>Agent 117</v>
      </c>
      <c r="P403">
        <f t="shared" si="28"/>
        <v>12</v>
      </c>
    </row>
    <row r="404" spans="1:16" x14ac:dyDescent="0.3">
      <c r="A404" t="s">
        <v>526</v>
      </c>
      <c r="B404" s="5">
        <v>46240</v>
      </c>
      <c r="C404" t="s">
        <v>129</v>
      </c>
      <c r="D404" t="s">
        <v>77</v>
      </c>
      <c r="E404">
        <v>1000</v>
      </c>
      <c r="F404" t="s">
        <v>72</v>
      </c>
      <c r="G404" t="s">
        <v>84</v>
      </c>
      <c r="H404" t="s">
        <v>78</v>
      </c>
      <c r="I404" t="str">
        <f t="shared" si="25"/>
        <v>2026-08</v>
      </c>
      <c r="J404" t="str">
        <f ca="1">IFERROR(_xludf.XLOOKUP(C404,'Agent Master'!$A:$A,'Agent Master'!$B:$B,"Missing"),"Missing")</f>
        <v>Missing</v>
      </c>
      <c r="K404" t="str">
        <f ca="1">IFERROR(_xludf.XLOOKUP(C404,'Agent Master'!$A:$A,'Agent Master'!$C:$C,"Missing"),"Missing")</f>
        <v>Missing</v>
      </c>
      <c r="L404" t="str">
        <f t="shared" si="26"/>
        <v>August</v>
      </c>
      <c r="M404" t="str">
        <f>_xlfn.XLOOKUP('Transaction Data'!D404,ProductMap[Product Code],ProductMap[Product Name])</f>
        <v>MATM</v>
      </c>
      <c r="N404" t="str">
        <f t="shared" si="27"/>
        <v>2026-08</v>
      </c>
      <c r="O404" t="str" cm="1">
        <f t="array" ref="O404">IFERROR(_xlfn.XLOOKUP(C404,AgentMaster[[#All],[Agent ID]],AgentMaster[[#All],[Agent Name]]),"")</f>
        <v>Agent 135</v>
      </c>
      <c r="P404">
        <f t="shared" si="28"/>
        <v>19</v>
      </c>
    </row>
    <row r="405" spans="1:16" x14ac:dyDescent="0.3">
      <c r="A405" t="s">
        <v>527</v>
      </c>
      <c r="B405" s="5">
        <v>46278</v>
      </c>
      <c r="C405" t="s">
        <v>255</v>
      </c>
      <c r="D405" t="s">
        <v>95</v>
      </c>
      <c r="E405">
        <v>250</v>
      </c>
      <c r="F405" t="s">
        <v>72</v>
      </c>
      <c r="G405" t="s">
        <v>73</v>
      </c>
      <c r="H405" t="s">
        <v>74</v>
      </c>
      <c r="I405" t="str">
        <f t="shared" si="25"/>
        <v>2026-09</v>
      </c>
      <c r="J405" t="str">
        <f ca="1">IFERROR(_xludf.XLOOKUP(C405,'Agent Master'!$A:$A,'Agent Master'!$B:$B,"Missing"),"Missing")</f>
        <v>Missing</v>
      </c>
      <c r="K405" t="str">
        <f ca="1">IFERROR(_xludf.XLOOKUP(C405,'Agent Master'!$A:$A,'Agent Master'!$C:$C,"Missing"),"Missing")</f>
        <v>Missing</v>
      </c>
      <c r="L405" t="str">
        <f t="shared" si="26"/>
        <v>September</v>
      </c>
      <c r="M405" t="str">
        <f>_xlfn.XLOOKUP('Transaction Data'!D405,ProductMap[Product Code],ProductMap[Product Name])</f>
        <v>BBPS</v>
      </c>
      <c r="N405" t="str">
        <f t="shared" si="27"/>
        <v>2026-09</v>
      </c>
      <c r="O405" t="str" cm="1">
        <f t="array" ref="O405">IFERROR(_xlfn.XLOOKUP(C405,AgentMaster[[#All],[Agent ID]],AgentMaster[[#All],[Agent Name]]),"")</f>
        <v>Agent 139</v>
      </c>
      <c r="P405">
        <f t="shared" si="28"/>
        <v>10</v>
      </c>
    </row>
    <row r="406" spans="1:16" x14ac:dyDescent="0.3">
      <c r="A406" t="s">
        <v>528</v>
      </c>
      <c r="B406" s="5">
        <v>46265</v>
      </c>
      <c r="C406" t="s">
        <v>150</v>
      </c>
      <c r="D406" t="s">
        <v>87</v>
      </c>
      <c r="E406">
        <v>1500</v>
      </c>
      <c r="F406" t="s">
        <v>72</v>
      </c>
      <c r="G406" t="s">
        <v>73</v>
      </c>
      <c r="H406" t="s">
        <v>74</v>
      </c>
      <c r="I406" t="str">
        <f t="shared" si="25"/>
        <v>2026-08</v>
      </c>
      <c r="J406" t="str">
        <f ca="1">IFERROR(_xludf.XLOOKUP(C406,'Agent Master'!$A:$A,'Agent Master'!$B:$B,"Missing"),"Missing")</f>
        <v>Missing</v>
      </c>
      <c r="K406" t="str">
        <f ca="1">IFERROR(_xludf.XLOOKUP(C406,'Agent Master'!$A:$A,'Agent Master'!$C:$C,"Missing"),"Missing")</f>
        <v>Missing</v>
      </c>
      <c r="L406" t="str">
        <f t="shared" si="26"/>
        <v>August</v>
      </c>
      <c r="M406" t="str">
        <f>_xlfn.XLOOKUP('Transaction Data'!D406,ProductMap[Product Code],ProductMap[Product Name])</f>
        <v>APAY</v>
      </c>
      <c r="N406" t="str">
        <f t="shared" si="27"/>
        <v>2026-08</v>
      </c>
      <c r="O406" t="str" cm="1">
        <f t="array" ref="O406">IFERROR(_xlfn.XLOOKUP(C406,AgentMaster[[#All],[Agent ID]],AgentMaster[[#All],[Agent Name]]),"")</f>
        <v>Agent 114</v>
      </c>
      <c r="P406">
        <f t="shared" si="28"/>
        <v>8</v>
      </c>
    </row>
    <row r="407" spans="1:16" x14ac:dyDescent="0.3">
      <c r="A407" t="s">
        <v>529</v>
      </c>
      <c r="B407" s="5">
        <v>46282</v>
      </c>
      <c r="C407" t="s">
        <v>70</v>
      </c>
      <c r="D407" t="s">
        <v>77</v>
      </c>
      <c r="E407">
        <v>20000</v>
      </c>
      <c r="F407" t="s">
        <v>72</v>
      </c>
      <c r="G407" t="s">
        <v>73</v>
      </c>
      <c r="H407" t="s">
        <v>74</v>
      </c>
      <c r="I407" t="str">
        <f t="shared" si="25"/>
        <v>2026-09</v>
      </c>
      <c r="J407" t="str">
        <f ca="1">IFERROR(_xludf.XLOOKUP(C407,'Agent Master'!$A:$A,'Agent Master'!$B:$B,"Missing"),"Missing")</f>
        <v>Missing</v>
      </c>
      <c r="K407" t="str">
        <f ca="1">IFERROR(_xludf.XLOOKUP(C407,'Agent Master'!$A:$A,'Agent Master'!$C:$C,"Missing"),"Missing")</f>
        <v>Missing</v>
      </c>
      <c r="L407" t="str">
        <f t="shared" si="26"/>
        <v>September</v>
      </c>
      <c r="M407" t="str">
        <f>_xlfn.XLOOKUP('Transaction Data'!D407,ProductMap[Product Code],ProductMap[Product Name])</f>
        <v>MATM</v>
      </c>
      <c r="N407" t="str">
        <f t="shared" si="27"/>
        <v>2026-09</v>
      </c>
      <c r="O407" t="str" cm="1">
        <f t="array" ref="O407">IFERROR(_xlfn.XLOOKUP(C407,AgentMaster[[#All],[Agent ID]],AgentMaster[[#All],[Agent Name]]),"")</f>
        <v>Agent 108</v>
      </c>
      <c r="P407">
        <f t="shared" si="28"/>
        <v>12</v>
      </c>
    </row>
    <row r="408" spans="1:16" x14ac:dyDescent="0.3">
      <c r="A408" t="s">
        <v>530</v>
      </c>
      <c r="B408" s="5">
        <v>46260</v>
      </c>
      <c r="C408" t="s">
        <v>104</v>
      </c>
      <c r="D408" t="s">
        <v>95</v>
      </c>
      <c r="E408">
        <v>2000</v>
      </c>
      <c r="F408" t="s">
        <v>72</v>
      </c>
      <c r="G408" t="s">
        <v>84</v>
      </c>
      <c r="H408" t="s">
        <v>78</v>
      </c>
      <c r="I408" t="str">
        <f t="shared" si="25"/>
        <v>2026-08</v>
      </c>
      <c r="J408" t="str">
        <f ca="1">IFERROR(_xludf.XLOOKUP(C408,'Agent Master'!$A:$A,'Agent Master'!$B:$B,"Missing"),"Missing")</f>
        <v>Missing</v>
      </c>
      <c r="K408" t="str">
        <f ca="1">IFERROR(_xludf.XLOOKUP(C408,'Agent Master'!$A:$A,'Agent Master'!$C:$C,"Missing"),"Missing")</f>
        <v>Missing</v>
      </c>
      <c r="L408" t="str">
        <f t="shared" si="26"/>
        <v>August</v>
      </c>
      <c r="M408" t="str">
        <f>_xlfn.XLOOKUP('Transaction Data'!D408,ProductMap[Product Code],ProductMap[Product Name])</f>
        <v>BBPS</v>
      </c>
      <c r="N408" t="str">
        <f t="shared" si="27"/>
        <v>2026-08</v>
      </c>
      <c r="O408" t="str" cm="1">
        <f t="array" ref="O408">IFERROR(_xlfn.XLOOKUP(C408,AgentMaster[[#All],[Agent ID]],AgentMaster[[#All],[Agent Name]]),"")</f>
        <v>Agent 116</v>
      </c>
      <c r="P408">
        <f t="shared" si="28"/>
        <v>15</v>
      </c>
    </row>
    <row r="409" spans="1:16" x14ac:dyDescent="0.3">
      <c r="A409" t="s">
        <v>531</v>
      </c>
      <c r="B409" s="5">
        <v>46269</v>
      </c>
      <c r="D409" t="s">
        <v>87</v>
      </c>
      <c r="E409">
        <v>1500</v>
      </c>
      <c r="F409" t="s">
        <v>72</v>
      </c>
      <c r="G409" t="s">
        <v>84</v>
      </c>
      <c r="H409" t="s">
        <v>78</v>
      </c>
      <c r="I409" t="str">
        <f t="shared" si="25"/>
        <v>2026-09</v>
      </c>
      <c r="J409" t="str">
        <f ca="1">IFERROR(_xludf.XLOOKUP(C409,'Agent Master'!$A:$A,'Agent Master'!$B:$B,"Missing"),"Missing")</f>
        <v>Missing</v>
      </c>
      <c r="K409" t="str">
        <f ca="1">IFERROR(_xludf.XLOOKUP(C409,'Agent Master'!$A:$A,'Agent Master'!$C:$C,"Missing"),"Missing")</f>
        <v>Missing</v>
      </c>
      <c r="L409" t="str">
        <f t="shared" si="26"/>
        <v>September</v>
      </c>
      <c r="M409" t="str">
        <f>_xlfn.XLOOKUP('Transaction Data'!D409,ProductMap[Product Code],ProductMap[Product Name])</f>
        <v>APAY</v>
      </c>
      <c r="N409" t="str">
        <f t="shared" si="27"/>
        <v>2026-09</v>
      </c>
      <c r="O409" t="str" cm="1">
        <f t="array" ref="O409">IFERROR(_xlfn.XLOOKUP(C409,AgentMaster[[#All],[Agent ID]],AgentMaster[[#All],[Agent Name]]),"")</f>
        <v/>
      </c>
      <c r="P409">
        <f t="shared" si="28"/>
        <v>25</v>
      </c>
    </row>
    <row r="410" spans="1:16" x14ac:dyDescent="0.3">
      <c r="A410" t="s">
        <v>532</v>
      </c>
      <c r="B410" s="5">
        <v>46264</v>
      </c>
      <c r="C410" t="s">
        <v>76</v>
      </c>
      <c r="D410" t="s">
        <v>77</v>
      </c>
      <c r="E410">
        <v>5000</v>
      </c>
      <c r="F410" t="s">
        <v>72</v>
      </c>
      <c r="G410" t="s">
        <v>73</v>
      </c>
      <c r="H410" t="s">
        <v>96</v>
      </c>
      <c r="I410" t="str">
        <f t="shared" si="25"/>
        <v>2026-08</v>
      </c>
      <c r="J410" t="str">
        <f ca="1">IFERROR(_xludf.XLOOKUP(C410,'Agent Master'!$A:$A,'Agent Master'!$B:$B,"Missing"),"Missing")</f>
        <v>Missing</v>
      </c>
      <c r="K410" t="str">
        <f ca="1">IFERROR(_xludf.XLOOKUP(C410,'Agent Master'!$A:$A,'Agent Master'!$C:$C,"Missing"),"Missing")</f>
        <v>Missing</v>
      </c>
      <c r="L410" t="str">
        <f t="shared" si="26"/>
        <v>August</v>
      </c>
      <c r="M410" t="str">
        <f>_xlfn.XLOOKUP('Transaction Data'!D410,ProductMap[Product Code],ProductMap[Product Name])</f>
        <v>MATM</v>
      </c>
      <c r="N410" t="str">
        <f t="shared" si="27"/>
        <v>2026-08</v>
      </c>
      <c r="O410" t="str" cm="1">
        <f t="array" ref="O410">IFERROR(_xlfn.XLOOKUP(C410,AgentMaster[[#All],[Agent ID]],AgentMaster[[#All],[Agent Name]]),"")</f>
        <v>Agent 107</v>
      </c>
      <c r="P410">
        <f t="shared" si="28"/>
        <v>16</v>
      </c>
    </row>
    <row r="411" spans="1:16" x14ac:dyDescent="0.3">
      <c r="A411" t="s">
        <v>533</v>
      </c>
      <c r="B411" s="5">
        <v>46255</v>
      </c>
      <c r="C411" t="s">
        <v>180</v>
      </c>
      <c r="D411" t="s">
        <v>71</v>
      </c>
      <c r="E411">
        <v>10000</v>
      </c>
      <c r="F411" t="s">
        <v>72</v>
      </c>
      <c r="G411" t="s">
        <v>73</v>
      </c>
      <c r="H411" t="s">
        <v>74</v>
      </c>
      <c r="I411" t="str">
        <f t="shared" si="25"/>
        <v>2026-08</v>
      </c>
      <c r="J411" t="str">
        <f ca="1">IFERROR(_xludf.XLOOKUP(C411,'Agent Master'!$A:$A,'Agent Master'!$B:$B,"Missing"),"Missing")</f>
        <v>Missing</v>
      </c>
      <c r="K411" t="str">
        <f ca="1">IFERROR(_xludf.XLOOKUP(C411,'Agent Master'!$A:$A,'Agent Master'!$C:$C,"Missing"),"Missing")</f>
        <v>Missing</v>
      </c>
      <c r="L411" t="str">
        <f t="shared" si="26"/>
        <v>August</v>
      </c>
      <c r="M411" t="str">
        <f>_xlfn.XLOOKUP('Transaction Data'!D411,ProductMap[Product Code],ProductMap[Product Name])</f>
        <v>AEPS</v>
      </c>
      <c r="N411" t="str">
        <f t="shared" si="27"/>
        <v>2026-08</v>
      </c>
      <c r="O411" t="str" cm="1">
        <f t="array" ref="O411">IFERROR(_xlfn.XLOOKUP(C411,AgentMaster[[#All],[Agent ID]],AgentMaster[[#All],[Agent Name]]),"")</f>
        <v>Agent 127</v>
      </c>
      <c r="P411">
        <f t="shared" si="28"/>
        <v>11</v>
      </c>
    </row>
    <row r="412" spans="1:16" x14ac:dyDescent="0.3">
      <c r="A412" t="s">
        <v>534</v>
      </c>
      <c r="B412" s="5">
        <v>46236</v>
      </c>
      <c r="C412" t="s">
        <v>159</v>
      </c>
      <c r="D412" t="s">
        <v>95</v>
      </c>
      <c r="E412">
        <v>10000</v>
      </c>
      <c r="F412" t="s">
        <v>92</v>
      </c>
      <c r="G412" t="s">
        <v>73</v>
      </c>
      <c r="H412" t="s">
        <v>78</v>
      </c>
      <c r="I412" t="str">
        <f t="shared" si="25"/>
        <v>2026-08</v>
      </c>
      <c r="J412" t="str">
        <f ca="1">IFERROR(_xludf.XLOOKUP(C412,'Agent Master'!$A:$A,'Agent Master'!$B:$B,"Missing"),"Missing")</f>
        <v>Missing</v>
      </c>
      <c r="K412" t="str">
        <f ca="1">IFERROR(_xludf.XLOOKUP(C412,'Agent Master'!$A:$A,'Agent Master'!$C:$C,"Missing"),"Missing")</f>
        <v>Missing</v>
      </c>
      <c r="L412" t="str">
        <f t="shared" si="26"/>
        <v>August</v>
      </c>
      <c r="M412" t="str">
        <f>_xlfn.XLOOKUP('Transaction Data'!D412,ProductMap[Product Code],ProductMap[Product Name])</f>
        <v>BBPS</v>
      </c>
      <c r="N412" t="str">
        <f t="shared" si="27"/>
        <v>2026-08</v>
      </c>
      <c r="O412" t="str" cm="1">
        <f t="array" ref="O412">IFERROR(_xlfn.XLOOKUP(C412,AgentMaster[[#All],[Agent ID]],AgentMaster[[#All],[Agent Name]]),"")</f>
        <v>Agent 117</v>
      </c>
      <c r="P412">
        <f t="shared" si="28"/>
        <v>12</v>
      </c>
    </row>
    <row r="413" spans="1:16" x14ac:dyDescent="0.3">
      <c r="A413" t="s">
        <v>535</v>
      </c>
      <c r="B413" s="5">
        <v>46253</v>
      </c>
      <c r="C413" t="s">
        <v>204</v>
      </c>
      <c r="D413" t="s">
        <v>90</v>
      </c>
      <c r="E413">
        <v>2000</v>
      </c>
      <c r="F413" t="s">
        <v>72</v>
      </c>
      <c r="G413" t="s">
        <v>84</v>
      </c>
      <c r="H413" t="s">
        <v>74</v>
      </c>
      <c r="I413" t="str">
        <f t="shared" si="25"/>
        <v>2026-08</v>
      </c>
      <c r="J413" t="str">
        <f ca="1">IFERROR(_xludf.XLOOKUP(C413,'Agent Master'!$A:$A,'Agent Master'!$B:$B,"Missing"),"Missing")</f>
        <v>Missing</v>
      </c>
      <c r="K413" t="str">
        <f ca="1">IFERROR(_xludf.XLOOKUP(C413,'Agent Master'!$A:$A,'Agent Master'!$C:$C,"Missing"),"Missing")</f>
        <v>Missing</v>
      </c>
      <c r="L413" t="str">
        <f t="shared" si="26"/>
        <v>August</v>
      </c>
      <c r="M413" t="str">
        <f>_xlfn.XLOOKUP('Transaction Data'!D413,ProductMap[Product Code],ProductMap[Product Name])</f>
        <v>UPI</v>
      </c>
      <c r="N413" t="str">
        <f t="shared" si="27"/>
        <v>2026-08</v>
      </c>
      <c r="O413" t="str" cm="1">
        <f t="array" ref="O413">IFERROR(_xlfn.XLOOKUP(C413,AgentMaster[[#All],[Agent ID]],AgentMaster[[#All],[Agent Name]]),"")</f>
        <v>Agent 110</v>
      </c>
      <c r="P413">
        <f t="shared" si="28"/>
        <v>17</v>
      </c>
    </row>
    <row r="414" spans="1:16" x14ac:dyDescent="0.3">
      <c r="A414" t="s">
        <v>536</v>
      </c>
      <c r="B414" s="5">
        <v>46266</v>
      </c>
      <c r="C414" t="s">
        <v>112</v>
      </c>
      <c r="D414" t="s">
        <v>77</v>
      </c>
      <c r="E414">
        <v>12500</v>
      </c>
      <c r="F414" t="s">
        <v>72</v>
      </c>
      <c r="G414" t="s">
        <v>84</v>
      </c>
      <c r="H414" t="s">
        <v>78</v>
      </c>
      <c r="I414" t="str">
        <f t="shared" si="25"/>
        <v>2026-09</v>
      </c>
      <c r="J414" t="str">
        <f ca="1">IFERROR(_xludf.XLOOKUP(C414,'Agent Master'!$A:$A,'Agent Master'!$B:$B,"Missing"),"Missing")</f>
        <v>Missing</v>
      </c>
      <c r="K414" t="str">
        <f ca="1">IFERROR(_xludf.XLOOKUP(C414,'Agent Master'!$A:$A,'Agent Master'!$C:$C,"Missing"),"Missing")</f>
        <v>Missing</v>
      </c>
      <c r="L414" t="str">
        <f t="shared" si="26"/>
        <v>September</v>
      </c>
      <c r="M414" t="str">
        <f>_xlfn.XLOOKUP('Transaction Data'!D414,ProductMap[Product Code],ProductMap[Product Name])</f>
        <v>MATM</v>
      </c>
      <c r="N414" t="str">
        <f t="shared" si="27"/>
        <v>2026-09</v>
      </c>
      <c r="O414" t="str" cm="1">
        <f t="array" ref="O414">IFERROR(_xlfn.XLOOKUP(C414,AgentMaster[[#All],[Agent ID]],AgentMaster[[#All],[Agent Name]]),"")</f>
        <v>Agent 136</v>
      </c>
      <c r="P414">
        <f t="shared" si="28"/>
        <v>16</v>
      </c>
    </row>
    <row r="415" spans="1:16" x14ac:dyDescent="0.3">
      <c r="A415" t="s">
        <v>537</v>
      </c>
      <c r="B415" s="5">
        <v>46281</v>
      </c>
      <c r="D415" t="s">
        <v>77</v>
      </c>
      <c r="E415">
        <v>5000</v>
      </c>
      <c r="F415" t="s">
        <v>72</v>
      </c>
      <c r="G415" t="s">
        <v>73</v>
      </c>
      <c r="H415" t="s">
        <v>96</v>
      </c>
      <c r="I415" t="str">
        <f t="shared" si="25"/>
        <v>2026-09</v>
      </c>
      <c r="J415" t="str">
        <f ca="1">IFERROR(_xludf.XLOOKUP(C415,'Agent Master'!$A:$A,'Agent Master'!$B:$B,"Missing"),"Missing")</f>
        <v>Missing</v>
      </c>
      <c r="K415" t="str">
        <f ca="1">IFERROR(_xludf.XLOOKUP(C415,'Agent Master'!$A:$A,'Agent Master'!$C:$C,"Missing"),"Missing")</f>
        <v>Missing</v>
      </c>
      <c r="L415" t="str">
        <f t="shared" si="26"/>
        <v>September</v>
      </c>
      <c r="M415" t="str">
        <f>_xlfn.XLOOKUP('Transaction Data'!D415,ProductMap[Product Code],ProductMap[Product Name])</f>
        <v>MATM</v>
      </c>
      <c r="N415" t="str">
        <f t="shared" si="27"/>
        <v>2026-09</v>
      </c>
      <c r="O415" t="str" cm="1">
        <f t="array" ref="O415">IFERROR(_xlfn.XLOOKUP(C415,AgentMaster[[#All],[Agent ID]],AgentMaster[[#All],[Agent Name]]),"")</f>
        <v/>
      </c>
      <c r="P415">
        <f t="shared" si="28"/>
        <v>25</v>
      </c>
    </row>
    <row r="416" spans="1:16" x14ac:dyDescent="0.3">
      <c r="A416" t="s">
        <v>538</v>
      </c>
      <c r="B416" s="5">
        <v>46245</v>
      </c>
      <c r="C416" t="s">
        <v>161</v>
      </c>
      <c r="D416" t="s">
        <v>77</v>
      </c>
      <c r="E416">
        <v>7500</v>
      </c>
      <c r="F416" t="s">
        <v>72</v>
      </c>
      <c r="G416" t="s">
        <v>73</v>
      </c>
      <c r="H416" t="s">
        <v>81</v>
      </c>
      <c r="I416" t="str">
        <f t="shared" si="25"/>
        <v>2026-08</v>
      </c>
      <c r="J416" t="str">
        <f ca="1">IFERROR(_xludf.XLOOKUP(C416,'Agent Master'!$A:$A,'Agent Master'!$B:$B,"Missing"),"Missing")</f>
        <v>Missing</v>
      </c>
      <c r="K416" t="str">
        <f ca="1">IFERROR(_xludf.XLOOKUP(C416,'Agent Master'!$A:$A,'Agent Master'!$C:$C,"Missing"),"Missing")</f>
        <v>Missing</v>
      </c>
      <c r="L416" t="str">
        <f t="shared" si="26"/>
        <v>August</v>
      </c>
      <c r="M416" t="str">
        <f>_xlfn.XLOOKUP('Transaction Data'!D416,ProductMap[Product Code],ProductMap[Product Name])</f>
        <v>MATM</v>
      </c>
      <c r="N416" t="str">
        <f t="shared" si="27"/>
        <v>2026-08</v>
      </c>
      <c r="O416" t="str" cm="1">
        <f t="array" ref="O416">IFERROR(_xlfn.XLOOKUP(C416,AgentMaster[[#All],[Agent ID]],AgentMaster[[#All],[Agent Name]]),"")</f>
        <v>Agent 109</v>
      </c>
      <c r="P416">
        <f t="shared" si="28"/>
        <v>16</v>
      </c>
    </row>
    <row r="417" spans="1:16" x14ac:dyDescent="0.3">
      <c r="A417" t="s">
        <v>539</v>
      </c>
      <c r="B417" s="5">
        <v>46268</v>
      </c>
      <c r="C417" t="s">
        <v>134</v>
      </c>
      <c r="D417" t="s">
        <v>71</v>
      </c>
      <c r="E417">
        <v>12500</v>
      </c>
      <c r="F417" t="s">
        <v>72</v>
      </c>
      <c r="G417" t="s">
        <v>73</v>
      </c>
      <c r="H417" t="s">
        <v>78</v>
      </c>
      <c r="I417" t="str">
        <f t="shared" si="25"/>
        <v>2026-09</v>
      </c>
      <c r="J417" t="str">
        <f ca="1">IFERROR(_xludf.XLOOKUP(C417,'Agent Master'!$A:$A,'Agent Master'!$B:$B,"Missing"),"Missing")</f>
        <v>Missing</v>
      </c>
      <c r="K417" t="str">
        <f ca="1">IFERROR(_xludf.XLOOKUP(C417,'Agent Master'!$A:$A,'Agent Master'!$C:$C,"Missing"),"Missing")</f>
        <v>Missing</v>
      </c>
      <c r="L417" t="str">
        <f t="shared" si="26"/>
        <v>September</v>
      </c>
      <c r="M417" t="str">
        <f>_xlfn.XLOOKUP('Transaction Data'!D417,ProductMap[Product Code],ProductMap[Product Name])</f>
        <v>AEPS</v>
      </c>
      <c r="N417" t="str">
        <f t="shared" si="27"/>
        <v>2026-09</v>
      </c>
      <c r="O417" t="str" cm="1">
        <f t="array" ref="O417">IFERROR(_xlfn.XLOOKUP(C417,AgentMaster[[#All],[Agent ID]],AgentMaster[[#All],[Agent Name]]),"")</f>
        <v>Agent 103</v>
      </c>
      <c r="P417">
        <f t="shared" si="28"/>
        <v>11</v>
      </c>
    </row>
    <row r="418" spans="1:16" x14ac:dyDescent="0.3">
      <c r="A418" t="s">
        <v>540</v>
      </c>
      <c r="B418" s="5">
        <v>46243</v>
      </c>
      <c r="C418" t="s">
        <v>98</v>
      </c>
      <c r="D418" t="s">
        <v>90</v>
      </c>
      <c r="E418">
        <v>500</v>
      </c>
      <c r="F418" t="s">
        <v>72</v>
      </c>
      <c r="G418" t="s">
        <v>73</v>
      </c>
      <c r="H418" t="s">
        <v>74</v>
      </c>
      <c r="I418" t="str">
        <f t="shared" si="25"/>
        <v>2026-08</v>
      </c>
      <c r="J418" t="str">
        <f ca="1">IFERROR(_xludf.XLOOKUP(C418,'Agent Master'!$A:$A,'Agent Master'!$B:$B,"Missing"),"Missing")</f>
        <v>Missing</v>
      </c>
      <c r="K418" t="str">
        <f ca="1">IFERROR(_xludf.XLOOKUP(C418,'Agent Master'!$A:$A,'Agent Master'!$C:$C,"Missing"),"Missing")</f>
        <v>Missing</v>
      </c>
      <c r="L418" t="str">
        <f t="shared" si="26"/>
        <v>August</v>
      </c>
      <c r="M418" t="str">
        <f>_xlfn.XLOOKUP('Transaction Data'!D418,ProductMap[Product Code],ProductMap[Product Name])</f>
        <v>UPI</v>
      </c>
      <c r="N418" t="str">
        <f t="shared" si="27"/>
        <v>2026-08</v>
      </c>
      <c r="O418" t="str" cm="1">
        <f t="array" ref="O418">IFERROR(_xlfn.XLOOKUP(C418,AgentMaster[[#All],[Agent ID]],AgentMaster[[#All],[Agent Name]]),"")</f>
        <v/>
      </c>
      <c r="P418">
        <f t="shared" si="28"/>
        <v>25</v>
      </c>
    </row>
    <row r="419" spans="1:16" x14ac:dyDescent="0.3">
      <c r="A419" t="s">
        <v>541</v>
      </c>
      <c r="B419" s="5">
        <v>46267</v>
      </c>
      <c r="C419" t="s">
        <v>94</v>
      </c>
      <c r="D419" t="s">
        <v>87</v>
      </c>
      <c r="E419">
        <v>250</v>
      </c>
      <c r="F419" t="s">
        <v>92</v>
      </c>
      <c r="G419" t="s">
        <v>73</v>
      </c>
      <c r="H419" t="s">
        <v>78</v>
      </c>
      <c r="I419" t="str">
        <f t="shared" si="25"/>
        <v>2026-09</v>
      </c>
      <c r="J419" t="str">
        <f ca="1">IFERROR(_xludf.XLOOKUP(C419,'Agent Master'!$A:$A,'Agent Master'!$B:$B,"Missing"),"Missing")</f>
        <v>Missing</v>
      </c>
      <c r="K419" t="str">
        <f ca="1">IFERROR(_xludf.XLOOKUP(C419,'Agent Master'!$A:$A,'Agent Master'!$C:$C,"Missing"),"Missing")</f>
        <v>Missing</v>
      </c>
      <c r="L419" t="str">
        <f t="shared" si="26"/>
        <v>September</v>
      </c>
      <c r="M419" t="str">
        <f>_xlfn.XLOOKUP('Transaction Data'!D419,ProductMap[Product Code],ProductMap[Product Name])</f>
        <v>APAY</v>
      </c>
      <c r="N419" t="str">
        <f t="shared" si="27"/>
        <v>2026-09</v>
      </c>
      <c r="O419" t="str" cm="1">
        <f t="array" ref="O419">IFERROR(_xlfn.XLOOKUP(C419,AgentMaster[[#All],[Agent ID]],AgentMaster[[#All],[Agent Name]]),"")</f>
        <v>Agent 130</v>
      </c>
      <c r="P419">
        <f t="shared" si="28"/>
        <v>16</v>
      </c>
    </row>
    <row r="420" spans="1:16" x14ac:dyDescent="0.3">
      <c r="A420" t="s">
        <v>542</v>
      </c>
      <c r="B420" s="5">
        <v>46277</v>
      </c>
      <c r="C420" t="s">
        <v>136</v>
      </c>
      <c r="D420" t="s">
        <v>71</v>
      </c>
      <c r="E420">
        <v>250</v>
      </c>
      <c r="F420" t="s">
        <v>72</v>
      </c>
      <c r="G420" t="s">
        <v>73</v>
      </c>
      <c r="H420" t="s">
        <v>78</v>
      </c>
      <c r="I420" t="str">
        <f t="shared" si="25"/>
        <v>2026-09</v>
      </c>
      <c r="J420" t="str">
        <f ca="1">IFERROR(_xludf.XLOOKUP(C420,'Agent Master'!$A:$A,'Agent Master'!$B:$B,"Missing"),"Missing")</f>
        <v>Missing</v>
      </c>
      <c r="K420" t="str">
        <f ca="1">IFERROR(_xludf.XLOOKUP(C420,'Agent Master'!$A:$A,'Agent Master'!$C:$C,"Missing"),"Missing")</f>
        <v>Missing</v>
      </c>
      <c r="L420" t="str">
        <f t="shared" si="26"/>
        <v>September</v>
      </c>
      <c r="M420" t="str">
        <f>_xlfn.XLOOKUP('Transaction Data'!D420,ProductMap[Product Code],ProductMap[Product Name])</f>
        <v>AEPS</v>
      </c>
      <c r="N420" t="str">
        <f t="shared" si="27"/>
        <v>2026-09</v>
      </c>
      <c r="O420" t="str" cm="1">
        <f t="array" ref="O420">IFERROR(_xlfn.XLOOKUP(C420,AgentMaster[[#All],[Agent ID]],AgentMaster[[#All],[Agent Name]]),"")</f>
        <v>Agent 132</v>
      </c>
      <c r="P420">
        <f t="shared" si="28"/>
        <v>8</v>
      </c>
    </row>
    <row r="421" spans="1:16" x14ac:dyDescent="0.3">
      <c r="A421" t="s">
        <v>543</v>
      </c>
      <c r="B421" s="5">
        <v>46235</v>
      </c>
      <c r="C421" t="s">
        <v>80</v>
      </c>
      <c r="D421" t="s">
        <v>95</v>
      </c>
      <c r="E421">
        <v>15000</v>
      </c>
      <c r="F421" t="s">
        <v>72</v>
      </c>
      <c r="G421" t="s">
        <v>73</v>
      </c>
      <c r="H421" t="s">
        <v>96</v>
      </c>
      <c r="I421" t="str">
        <f t="shared" si="25"/>
        <v>2026-08</v>
      </c>
      <c r="J421" t="str">
        <f ca="1">IFERROR(_xludf.XLOOKUP(C421,'Agent Master'!$A:$A,'Agent Master'!$B:$B,"Missing"),"Missing")</f>
        <v>Missing</v>
      </c>
      <c r="K421" t="str">
        <f ca="1">IFERROR(_xludf.XLOOKUP(C421,'Agent Master'!$A:$A,'Agent Master'!$C:$C,"Missing"),"Missing")</f>
        <v>Missing</v>
      </c>
      <c r="L421" t="str">
        <f t="shared" si="26"/>
        <v>August</v>
      </c>
      <c r="M421" t="str">
        <f>_xlfn.XLOOKUP('Transaction Data'!D421,ProductMap[Product Code],ProductMap[Product Name])</f>
        <v>BBPS</v>
      </c>
      <c r="N421" t="str">
        <f t="shared" si="27"/>
        <v>2026-08</v>
      </c>
      <c r="O421" t="str" cm="1">
        <f t="array" ref="O421">IFERROR(_xlfn.XLOOKUP(C421,AgentMaster[[#All],[Agent ID]],AgentMaster[[#All],[Agent Name]]),"")</f>
        <v>Agent 102</v>
      </c>
      <c r="P421">
        <f t="shared" si="28"/>
        <v>13</v>
      </c>
    </row>
    <row r="422" spans="1:16" x14ac:dyDescent="0.3">
      <c r="A422" t="s">
        <v>544</v>
      </c>
      <c r="B422" s="5">
        <v>46236</v>
      </c>
      <c r="C422" t="s">
        <v>154</v>
      </c>
      <c r="D422" t="s">
        <v>77</v>
      </c>
      <c r="E422">
        <v>12500</v>
      </c>
      <c r="F422" t="s">
        <v>72</v>
      </c>
      <c r="G422" t="s">
        <v>73</v>
      </c>
      <c r="H422" t="s">
        <v>81</v>
      </c>
      <c r="I422" t="str">
        <f t="shared" si="25"/>
        <v>2026-08</v>
      </c>
      <c r="J422" t="str">
        <f ca="1">IFERROR(_xludf.XLOOKUP(C422,'Agent Master'!$A:$A,'Agent Master'!$B:$B,"Missing"),"Missing")</f>
        <v>Missing</v>
      </c>
      <c r="K422" t="str">
        <f ca="1">IFERROR(_xludf.XLOOKUP(C422,'Agent Master'!$A:$A,'Agent Master'!$C:$C,"Missing"),"Missing")</f>
        <v>Missing</v>
      </c>
      <c r="L422" t="str">
        <f t="shared" si="26"/>
        <v>August</v>
      </c>
      <c r="M422" t="str">
        <f>_xlfn.XLOOKUP('Transaction Data'!D422,ProductMap[Product Code],ProductMap[Product Name])</f>
        <v>MATM</v>
      </c>
      <c r="N422" t="str">
        <f t="shared" si="27"/>
        <v>2026-08</v>
      </c>
      <c r="O422" t="str" cm="1">
        <f t="array" ref="O422">IFERROR(_xlfn.XLOOKUP(C422,AgentMaster[[#All],[Agent ID]],AgentMaster[[#All],[Agent Name]]),"")</f>
        <v>Agent 133</v>
      </c>
      <c r="P422">
        <f t="shared" si="28"/>
        <v>9</v>
      </c>
    </row>
    <row r="423" spans="1:16" x14ac:dyDescent="0.3">
      <c r="A423" t="s">
        <v>545</v>
      </c>
      <c r="B423" s="5">
        <v>46293</v>
      </c>
      <c r="C423" t="s">
        <v>76</v>
      </c>
      <c r="D423" t="s">
        <v>95</v>
      </c>
      <c r="E423">
        <v>750</v>
      </c>
      <c r="F423" t="s">
        <v>72</v>
      </c>
      <c r="G423" t="s">
        <v>73</v>
      </c>
      <c r="H423" t="s">
        <v>96</v>
      </c>
      <c r="I423" t="str">
        <f t="shared" si="25"/>
        <v>2026-09</v>
      </c>
      <c r="J423" t="str">
        <f ca="1">IFERROR(_xludf.XLOOKUP(C423,'Agent Master'!$A:$A,'Agent Master'!$B:$B,"Missing"),"Missing")</f>
        <v>Missing</v>
      </c>
      <c r="K423" t="str">
        <f ca="1">IFERROR(_xludf.XLOOKUP(C423,'Agent Master'!$A:$A,'Agent Master'!$C:$C,"Missing"),"Missing")</f>
        <v>Missing</v>
      </c>
      <c r="L423" t="str">
        <f t="shared" si="26"/>
        <v>September</v>
      </c>
      <c r="M423" t="str">
        <f>_xlfn.XLOOKUP('Transaction Data'!D423,ProductMap[Product Code],ProductMap[Product Name])</f>
        <v>BBPS</v>
      </c>
      <c r="N423" t="str">
        <f t="shared" si="27"/>
        <v>2026-09</v>
      </c>
      <c r="O423" t="str" cm="1">
        <f t="array" ref="O423">IFERROR(_xlfn.XLOOKUP(C423,AgentMaster[[#All],[Agent ID]],AgentMaster[[#All],[Agent Name]]),"")</f>
        <v>Agent 107</v>
      </c>
      <c r="P423">
        <f t="shared" si="28"/>
        <v>16</v>
      </c>
    </row>
    <row r="424" spans="1:16" x14ac:dyDescent="0.3">
      <c r="A424" t="s">
        <v>546</v>
      </c>
      <c r="B424" s="5">
        <v>46287</v>
      </c>
      <c r="C424" t="s">
        <v>216</v>
      </c>
      <c r="D424" t="s">
        <v>87</v>
      </c>
      <c r="E424">
        <v>20000</v>
      </c>
      <c r="F424" t="s">
        <v>72</v>
      </c>
      <c r="G424" t="s">
        <v>73</v>
      </c>
      <c r="H424" t="s">
        <v>96</v>
      </c>
      <c r="I424" t="str">
        <f t="shared" si="25"/>
        <v>2026-09</v>
      </c>
      <c r="J424" t="str">
        <f ca="1">IFERROR(_xludf.XLOOKUP(C424,'Agent Master'!$A:$A,'Agent Master'!$B:$B,"Missing"),"Missing")</f>
        <v>Missing</v>
      </c>
      <c r="K424" t="str">
        <f ca="1">IFERROR(_xludf.XLOOKUP(C424,'Agent Master'!$A:$A,'Agent Master'!$C:$C,"Missing"),"Missing")</f>
        <v>Missing</v>
      </c>
      <c r="L424" t="str">
        <f t="shared" si="26"/>
        <v>September</v>
      </c>
      <c r="M424" t="str">
        <f>_xlfn.XLOOKUP('Transaction Data'!D424,ProductMap[Product Code],ProductMap[Product Name])</f>
        <v>APAY</v>
      </c>
      <c r="N424" t="str">
        <f t="shared" si="27"/>
        <v>2026-09</v>
      </c>
      <c r="O424" t="str" cm="1">
        <f t="array" ref="O424">IFERROR(_xlfn.XLOOKUP(C424,AgentMaster[[#All],[Agent ID]],AgentMaster[[#All],[Agent Name]]),"")</f>
        <v>Agent 123</v>
      </c>
      <c r="P424">
        <f t="shared" si="28"/>
        <v>6</v>
      </c>
    </row>
    <row r="425" spans="1:16" x14ac:dyDescent="0.3">
      <c r="A425" t="s">
        <v>547</v>
      </c>
      <c r="B425" s="5">
        <v>46260</v>
      </c>
      <c r="C425" t="s">
        <v>94</v>
      </c>
      <c r="D425" t="s">
        <v>95</v>
      </c>
      <c r="E425">
        <v>1000</v>
      </c>
      <c r="F425" t="s">
        <v>72</v>
      </c>
      <c r="G425" t="s">
        <v>84</v>
      </c>
      <c r="H425" t="s">
        <v>81</v>
      </c>
      <c r="I425" t="str">
        <f t="shared" si="25"/>
        <v>2026-08</v>
      </c>
      <c r="J425" t="str">
        <f ca="1">IFERROR(_xludf.XLOOKUP(C425,'Agent Master'!$A:$A,'Agent Master'!$B:$B,"Missing"),"Missing")</f>
        <v>Missing</v>
      </c>
      <c r="K425" t="str">
        <f ca="1">IFERROR(_xludf.XLOOKUP(C425,'Agent Master'!$A:$A,'Agent Master'!$C:$C,"Missing"),"Missing")</f>
        <v>Missing</v>
      </c>
      <c r="L425" t="str">
        <f t="shared" si="26"/>
        <v>August</v>
      </c>
      <c r="M425" t="str">
        <f>_xlfn.XLOOKUP('Transaction Data'!D425,ProductMap[Product Code],ProductMap[Product Name])</f>
        <v>BBPS</v>
      </c>
      <c r="N425" t="str">
        <f t="shared" si="27"/>
        <v>2026-08</v>
      </c>
      <c r="O425" t="str" cm="1">
        <f t="array" ref="O425">IFERROR(_xlfn.XLOOKUP(C425,AgentMaster[[#All],[Agent ID]],AgentMaster[[#All],[Agent Name]]),"")</f>
        <v>Agent 130</v>
      </c>
      <c r="P425">
        <f t="shared" si="28"/>
        <v>16</v>
      </c>
    </row>
    <row r="426" spans="1:16" x14ac:dyDescent="0.3">
      <c r="A426" t="s">
        <v>548</v>
      </c>
      <c r="B426" s="5">
        <v>46276</v>
      </c>
      <c r="D426" t="s">
        <v>71</v>
      </c>
      <c r="E426">
        <v>500</v>
      </c>
      <c r="F426" t="s">
        <v>72</v>
      </c>
      <c r="G426" t="s">
        <v>84</v>
      </c>
      <c r="H426" t="s">
        <v>78</v>
      </c>
      <c r="I426" t="str">
        <f t="shared" si="25"/>
        <v>2026-09</v>
      </c>
      <c r="J426" t="str">
        <f ca="1">IFERROR(_xludf.XLOOKUP(C426,'Agent Master'!$A:$A,'Agent Master'!$B:$B,"Missing"),"Missing")</f>
        <v>Missing</v>
      </c>
      <c r="K426" t="str">
        <f ca="1">IFERROR(_xludf.XLOOKUP(C426,'Agent Master'!$A:$A,'Agent Master'!$C:$C,"Missing"),"Missing")</f>
        <v>Missing</v>
      </c>
      <c r="L426" t="str">
        <f t="shared" si="26"/>
        <v>September</v>
      </c>
      <c r="M426" t="str">
        <f>_xlfn.XLOOKUP('Transaction Data'!D426,ProductMap[Product Code],ProductMap[Product Name])</f>
        <v>AEPS</v>
      </c>
      <c r="N426" t="str">
        <f t="shared" si="27"/>
        <v>2026-09</v>
      </c>
      <c r="O426" t="str" cm="1">
        <f t="array" ref="O426">IFERROR(_xlfn.XLOOKUP(C426,AgentMaster[[#All],[Agent ID]],AgentMaster[[#All],[Agent Name]]),"")</f>
        <v/>
      </c>
      <c r="P426">
        <f t="shared" si="28"/>
        <v>25</v>
      </c>
    </row>
    <row r="427" spans="1:16" x14ac:dyDescent="0.3">
      <c r="A427" t="s">
        <v>549</v>
      </c>
      <c r="B427" s="5">
        <v>46270</v>
      </c>
      <c r="C427" t="s">
        <v>127</v>
      </c>
      <c r="D427" t="s">
        <v>71</v>
      </c>
      <c r="E427">
        <v>12500</v>
      </c>
      <c r="F427" t="s">
        <v>72</v>
      </c>
      <c r="G427" t="s">
        <v>73</v>
      </c>
      <c r="H427" t="s">
        <v>74</v>
      </c>
      <c r="I427" t="str">
        <f t="shared" si="25"/>
        <v>2026-09</v>
      </c>
      <c r="J427" t="str">
        <f ca="1">IFERROR(_xludf.XLOOKUP(C427,'Agent Master'!$A:$A,'Agent Master'!$B:$B,"Missing"),"Missing")</f>
        <v>Missing</v>
      </c>
      <c r="K427" t="str">
        <f ca="1">IFERROR(_xludf.XLOOKUP(C427,'Agent Master'!$A:$A,'Agent Master'!$C:$C,"Missing"),"Missing")</f>
        <v>Missing</v>
      </c>
      <c r="L427" t="str">
        <f t="shared" si="26"/>
        <v>September</v>
      </c>
      <c r="M427" t="str">
        <f>_xlfn.XLOOKUP('Transaction Data'!D427,ProductMap[Product Code],ProductMap[Product Name])</f>
        <v>AEPS</v>
      </c>
      <c r="N427" t="str">
        <f t="shared" si="27"/>
        <v>2026-09</v>
      </c>
      <c r="O427" t="str" cm="1">
        <f t="array" ref="O427">IFERROR(_xlfn.XLOOKUP(C427,AgentMaster[[#All],[Agent ID]],AgentMaster[[#All],[Agent Name]]),"")</f>
        <v>Agent 131</v>
      </c>
      <c r="P427">
        <f t="shared" si="28"/>
        <v>11</v>
      </c>
    </row>
    <row r="428" spans="1:16" x14ac:dyDescent="0.3">
      <c r="A428" t="s">
        <v>550</v>
      </c>
      <c r="B428" s="5">
        <v>46240</v>
      </c>
      <c r="C428" t="s">
        <v>136</v>
      </c>
      <c r="D428" t="s">
        <v>110</v>
      </c>
      <c r="E428">
        <v>12500</v>
      </c>
      <c r="F428" t="s">
        <v>72</v>
      </c>
      <c r="G428" t="s">
        <v>73</v>
      </c>
      <c r="H428" t="s">
        <v>81</v>
      </c>
      <c r="I428" t="str">
        <f t="shared" si="25"/>
        <v>2026-08</v>
      </c>
      <c r="J428" t="str">
        <f ca="1">IFERROR(_xludf.XLOOKUP(C428,'Agent Master'!$A:$A,'Agent Master'!$B:$B,"Missing"),"Missing")</f>
        <v>Missing</v>
      </c>
      <c r="K428" t="str">
        <f ca="1">IFERROR(_xludf.XLOOKUP(C428,'Agent Master'!$A:$A,'Agent Master'!$C:$C,"Missing"),"Missing")</f>
        <v>Missing</v>
      </c>
      <c r="L428" t="str">
        <f t="shared" si="26"/>
        <v>August</v>
      </c>
      <c r="M428" t="str">
        <f>_xlfn.XLOOKUP('Transaction Data'!D428,ProductMap[Product Code],ProductMap[Product Name])</f>
        <v>DMT</v>
      </c>
      <c r="N428" t="str">
        <f t="shared" si="27"/>
        <v>2026-08</v>
      </c>
      <c r="O428" t="str" cm="1">
        <f t="array" ref="O428">IFERROR(_xlfn.XLOOKUP(C428,AgentMaster[[#All],[Agent ID]],AgentMaster[[#All],[Agent Name]]),"")</f>
        <v>Agent 132</v>
      </c>
      <c r="P428">
        <f t="shared" si="28"/>
        <v>8</v>
      </c>
    </row>
    <row r="429" spans="1:16" x14ac:dyDescent="0.3">
      <c r="A429" t="s">
        <v>551</v>
      </c>
      <c r="B429" s="5">
        <v>46292</v>
      </c>
      <c r="C429" t="s">
        <v>189</v>
      </c>
      <c r="D429" t="s">
        <v>71</v>
      </c>
      <c r="E429">
        <v>1000</v>
      </c>
      <c r="F429" t="s">
        <v>72</v>
      </c>
      <c r="G429" t="s">
        <v>73</v>
      </c>
      <c r="H429" t="s">
        <v>78</v>
      </c>
      <c r="I429" t="str">
        <f t="shared" si="25"/>
        <v>2026-09</v>
      </c>
      <c r="J429" t="str">
        <f ca="1">IFERROR(_xludf.XLOOKUP(C429,'Agent Master'!$A:$A,'Agent Master'!$B:$B,"Missing"),"Missing")</f>
        <v>Missing</v>
      </c>
      <c r="K429" t="str">
        <f ca="1">IFERROR(_xludf.XLOOKUP(C429,'Agent Master'!$A:$A,'Agent Master'!$C:$C,"Missing"),"Missing")</f>
        <v>Missing</v>
      </c>
      <c r="L429" t="str">
        <f t="shared" si="26"/>
        <v>September</v>
      </c>
      <c r="M429" t="str">
        <f>_xlfn.XLOOKUP('Transaction Data'!D429,ProductMap[Product Code],ProductMap[Product Name])</f>
        <v>AEPS</v>
      </c>
      <c r="N429" t="str">
        <f t="shared" si="27"/>
        <v>2026-09</v>
      </c>
      <c r="O429" t="str" cm="1">
        <f t="array" ref="O429">IFERROR(_xlfn.XLOOKUP(C429,AgentMaster[[#All],[Agent ID]],AgentMaster[[#All],[Agent Name]]),"")</f>
        <v>Agent 134</v>
      </c>
      <c r="P429">
        <f t="shared" si="28"/>
        <v>6</v>
      </c>
    </row>
    <row r="430" spans="1:16" x14ac:dyDescent="0.3">
      <c r="A430" t="s">
        <v>552</v>
      </c>
      <c r="B430" s="5">
        <v>46252</v>
      </c>
      <c r="C430" t="s">
        <v>134</v>
      </c>
      <c r="D430" t="s">
        <v>71</v>
      </c>
      <c r="E430">
        <v>12500</v>
      </c>
      <c r="F430" t="s">
        <v>72</v>
      </c>
      <c r="G430" t="s">
        <v>73</v>
      </c>
      <c r="H430" t="s">
        <v>81</v>
      </c>
      <c r="I430" t="str">
        <f t="shared" si="25"/>
        <v>2026-08</v>
      </c>
      <c r="J430" t="str">
        <f ca="1">IFERROR(_xludf.XLOOKUP(C430,'Agent Master'!$A:$A,'Agent Master'!$B:$B,"Missing"),"Missing")</f>
        <v>Missing</v>
      </c>
      <c r="K430" t="str">
        <f ca="1">IFERROR(_xludf.XLOOKUP(C430,'Agent Master'!$A:$A,'Agent Master'!$C:$C,"Missing"),"Missing")</f>
        <v>Missing</v>
      </c>
      <c r="L430" t="str">
        <f t="shared" si="26"/>
        <v>August</v>
      </c>
      <c r="M430" t="str">
        <f>_xlfn.XLOOKUP('Transaction Data'!D430,ProductMap[Product Code],ProductMap[Product Name])</f>
        <v>AEPS</v>
      </c>
      <c r="N430" t="str">
        <f t="shared" si="27"/>
        <v>2026-08</v>
      </c>
      <c r="O430" t="str" cm="1">
        <f t="array" ref="O430">IFERROR(_xlfn.XLOOKUP(C430,AgentMaster[[#All],[Agent ID]],AgentMaster[[#All],[Agent Name]]),"")</f>
        <v>Agent 103</v>
      </c>
      <c r="P430">
        <f t="shared" si="28"/>
        <v>11</v>
      </c>
    </row>
    <row r="431" spans="1:16" x14ac:dyDescent="0.3">
      <c r="A431" t="s">
        <v>553</v>
      </c>
      <c r="B431" s="5">
        <v>46246</v>
      </c>
      <c r="C431" t="s">
        <v>106</v>
      </c>
      <c r="D431" t="s">
        <v>71</v>
      </c>
      <c r="E431">
        <v>1000</v>
      </c>
      <c r="F431" t="s">
        <v>92</v>
      </c>
      <c r="G431" t="s">
        <v>73</v>
      </c>
      <c r="H431" t="s">
        <v>78</v>
      </c>
      <c r="I431" t="str">
        <f t="shared" si="25"/>
        <v>2026-08</v>
      </c>
      <c r="J431" t="str">
        <f ca="1">IFERROR(_xludf.XLOOKUP(C431,'Agent Master'!$A:$A,'Agent Master'!$B:$B,"Missing"),"Missing")</f>
        <v>Missing</v>
      </c>
      <c r="K431" t="str">
        <f ca="1">IFERROR(_xludf.XLOOKUP(C431,'Agent Master'!$A:$A,'Agent Master'!$C:$C,"Missing"),"Missing")</f>
        <v>Missing</v>
      </c>
      <c r="L431" t="str">
        <f t="shared" si="26"/>
        <v>August</v>
      </c>
      <c r="M431" t="str">
        <f>_xlfn.XLOOKUP('Transaction Data'!D431,ProductMap[Product Code],ProductMap[Product Name])</f>
        <v>AEPS</v>
      </c>
      <c r="N431" t="str">
        <f t="shared" si="27"/>
        <v>2026-08</v>
      </c>
      <c r="O431" t="str" cm="1">
        <f t="array" ref="O431">IFERROR(_xlfn.XLOOKUP(C431,AgentMaster[[#All],[Agent ID]],AgentMaster[[#All],[Agent Name]]),"")</f>
        <v>Agent 121</v>
      </c>
      <c r="P431">
        <f t="shared" si="28"/>
        <v>7</v>
      </c>
    </row>
    <row r="432" spans="1:16" x14ac:dyDescent="0.3">
      <c r="A432" t="s">
        <v>554</v>
      </c>
      <c r="B432" s="5">
        <v>46294</v>
      </c>
      <c r="C432" t="s">
        <v>108</v>
      </c>
      <c r="D432" t="s">
        <v>87</v>
      </c>
      <c r="E432">
        <v>750</v>
      </c>
      <c r="F432" t="s">
        <v>92</v>
      </c>
      <c r="G432" t="s">
        <v>73</v>
      </c>
      <c r="H432" t="s">
        <v>78</v>
      </c>
      <c r="I432" t="str">
        <f t="shared" si="25"/>
        <v>2026-09</v>
      </c>
      <c r="J432" t="str">
        <f ca="1">IFERROR(_xludf.XLOOKUP(C432,'Agent Master'!$A:$A,'Agent Master'!$B:$B,"Missing"),"Missing")</f>
        <v>Missing</v>
      </c>
      <c r="K432" t="str">
        <f ca="1">IFERROR(_xludf.XLOOKUP(C432,'Agent Master'!$A:$A,'Agent Master'!$C:$C,"Missing"),"Missing")</f>
        <v>Missing</v>
      </c>
      <c r="L432" t="str">
        <f t="shared" si="26"/>
        <v>September</v>
      </c>
      <c r="M432" t="str">
        <f>_xlfn.XLOOKUP('Transaction Data'!D432,ProductMap[Product Code],ProductMap[Product Name])</f>
        <v>APAY</v>
      </c>
      <c r="N432" t="str">
        <f t="shared" si="27"/>
        <v>2026-09</v>
      </c>
      <c r="O432" t="str" cm="1">
        <f t="array" ref="O432">IFERROR(_xlfn.XLOOKUP(C432,AgentMaster[[#All],[Agent ID]],AgentMaster[[#All],[Agent Name]]),"")</f>
        <v>Agent 105</v>
      </c>
      <c r="P432">
        <f t="shared" si="28"/>
        <v>8</v>
      </c>
    </row>
    <row r="433" spans="1:16" x14ac:dyDescent="0.3">
      <c r="A433" t="s">
        <v>555</v>
      </c>
      <c r="B433" s="5">
        <v>46278</v>
      </c>
      <c r="C433" t="s">
        <v>129</v>
      </c>
      <c r="D433" t="s">
        <v>87</v>
      </c>
      <c r="E433">
        <v>2500</v>
      </c>
      <c r="F433" t="s">
        <v>72</v>
      </c>
      <c r="G433" t="s">
        <v>73</v>
      </c>
      <c r="H433" t="s">
        <v>81</v>
      </c>
      <c r="I433" t="str">
        <f t="shared" si="25"/>
        <v>2026-09</v>
      </c>
      <c r="J433" t="str">
        <f ca="1">IFERROR(_xludf.XLOOKUP(C433,'Agent Master'!$A:$A,'Agent Master'!$B:$B,"Missing"),"Missing")</f>
        <v>Missing</v>
      </c>
      <c r="K433" t="str">
        <f ca="1">IFERROR(_xludf.XLOOKUP(C433,'Agent Master'!$A:$A,'Agent Master'!$C:$C,"Missing"),"Missing")</f>
        <v>Missing</v>
      </c>
      <c r="L433" t="str">
        <f t="shared" si="26"/>
        <v>September</v>
      </c>
      <c r="M433" t="str">
        <f>_xlfn.XLOOKUP('Transaction Data'!D433,ProductMap[Product Code],ProductMap[Product Name])</f>
        <v>APAY</v>
      </c>
      <c r="N433" t="str">
        <f t="shared" si="27"/>
        <v>2026-09</v>
      </c>
      <c r="O433" t="str" cm="1">
        <f t="array" ref="O433">IFERROR(_xlfn.XLOOKUP(C433,AgentMaster[[#All],[Agent ID]],AgentMaster[[#All],[Agent Name]]),"")</f>
        <v>Agent 135</v>
      </c>
      <c r="P433">
        <f t="shared" si="28"/>
        <v>19</v>
      </c>
    </row>
    <row r="434" spans="1:16" x14ac:dyDescent="0.3">
      <c r="A434" t="s">
        <v>556</v>
      </c>
      <c r="B434" s="5">
        <v>46267</v>
      </c>
      <c r="C434" t="s">
        <v>216</v>
      </c>
      <c r="D434" t="s">
        <v>71</v>
      </c>
      <c r="E434">
        <v>500</v>
      </c>
      <c r="F434" t="s">
        <v>72</v>
      </c>
      <c r="G434" t="s">
        <v>73</v>
      </c>
      <c r="H434" t="s">
        <v>81</v>
      </c>
      <c r="I434" t="str">
        <f t="shared" si="25"/>
        <v>2026-09</v>
      </c>
      <c r="J434" t="str">
        <f ca="1">IFERROR(_xludf.XLOOKUP(C434,'Agent Master'!$A:$A,'Agent Master'!$B:$B,"Missing"),"Missing")</f>
        <v>Missing</v>
      </c>
      <c r="K434" t="str">
        <f ca="1">IFERROR(_xludf.XLOOKUP(C434,'Agent Master'!$A:$A,'Agent Master'!$C:$C,"Missing"),"Missing")</f>
        <v>Missing</v>
      </c>
      <c r="L434" t="str">
        <f t="shared" si="26"/>
        <v>September</v>
      </c>
      <c r="M434" t="str">
        <f>_xlfn.XLOOKUP('Transaction Data'!D434,ProductMap[Product Code],ProductMap[Product Name])</f>
        <v>AEPS</v>
      </c>
      <c r="N434" t="str">
        <f t="shared" si="27"/>
        <v>2026-09</v>
      </c>
      <c r="O434" t="str" cm="1">
        <f t="array" ref="O434">IFERROR(_xlfn.XLOOKUP(C434,AgentMaster[[#All],[Agent ID]],AgentMaster[[#All],[Agent Name]]),"")</f>
        <v>Agent 123</v>
      </c>
      <c r="P434">
        <f t="shared" si="28"/>
        <v>6</v>
      </c>
    </row>
    <row r="435" spans="1:16" x14ac:dyDescent="0.3">
      <c r="A435" t="s">
        <v>557</v>
      </c>
      <c r="B435" s="5">
        <v>46256</v>
      </c>
      <c r="C435" t="s">
        <v>255</v>
      </c>
      <c r="D435" t="s">
        <v>95</v>
      </c>
      <c r="E435">
        <v>10000</v>
      </c>
      <c r="F435" t="s">
        <v>72</v>
      </c>
      <c r="G435" t="s">
        <v>84</v>
      </c>
      <c r="H435" t="s">
        <v>81</v>
      </c>
      <c r="I435" t="str">
        <f t="shared" si="25"/>
        <v>2026-08</v>
      </c>
      <c r="J435" t="str">
        <f ca="1">IFERROR(_xludf.XLOOKUP(C435,'Agent Master'!$A:$A,'Agent Master'!$B:$B,"Missing"),"Missing")</f>
        <v>Missing</v>
      </c>
      <c r="K435" t="str">
        <f ca="1">IFERROR(_xludf.XLOOKUP(C435,'Agent Master'!$A:$A,'Agent Master'!$C:$C,"Missing"),"Missing")</f>
        <v>Missing</v>
      </c>
      <c r="L435" t="str">
        <f t="shared" si="26"/>
        <v>August</v>
      </c>
      <c r="M435" t="str">
        <f>_xlfn.XLOOKUP('Transaction Data'!D435,ProductMap[Product Code],ProductMap[Product Name])</f>
        <v>BBPS</v>
      </c>
      <c r="N435" t="str">
        <f t="shared" si="27"/>
        <v>2026-08</v>
      </c>
      <c r="O435" t="str" cm="1">
        <f t="array" ref="O435">IFERROR(_xlfn.XLOOKUP(C435,AgentMaster[[#All],[Agent ID]],AgentMaster[[#All],[Agent Name]]),"")</f>
        <v>Agent 139</v>
      </c>
      <c r="P435">
        <f t="shared" si="28"/>
        <v>10</v>
      </c>
    </row>
    <row r="436" spans="1:16" x14ac:dyDescent="0.3">
      <c r="A436" t="s">
        <v>558</v>
      </c>
      <c r="B436" s="5">
        <v>46275</v>
      </c>
      <c r="C436" t="s">
        <v>89</v>
      </c>
      <c r="D436" t="s">
        <v>110</v>
      </c>
      <c r="E436">
        <v>5000</v>
      </c>
      <c r="F436" t="s">
        <v>72</v>
      </c>
      <c r="G436" t="s">
        <v>84</v>
      </c>
      <c r="H436" t="s">
        <v>78</v>
      </c>
      <c r="I436" t="str">
        <f t="shared" si="25"/>
        <v>2026-09</v>
      </c>
      <c r="J436" t="str">
        <f ca="1">IFERROR(_xludf.XLOOKUP(C436,'Agent Master'!$A:$A,'Agent Master'!$B:$B,"Missing"),"Missing")</f>
        <v>Missing</v>
      </c>
      <c r="K436" t="str">
        <f ca="1">IFERROR(_xludf.XLOOKUP(C436,'Agent Master'!$A:$A,'Agent Master'!$C:$C,"Missing"),"Missing")</f>
        <v>Missing</v>
      </c>
      <c r="L436" t="str">
        <f t="shared" si="26"/>
        <v>September</v>
      </c>
      <c r="M436" t="str">
        <f>_xlfn.XLOOKUP('Transaction Data'!D436,ProductMap[Product Code],ProductMap[Product Name])</f>
        <v>DMT</v>
      </c>
      <c r="N436" t="str">
        <f t="shared" si="27"/>
        <v>2026-09</v>
      </c>
      <c r="O436" t="str" cm="1">
        <f t="array" ref="O436">IFERROR(_xlfn.XLOOKUP(C436,AgentMaster[[#All],[Agent ID]],AgentMaster[[#All],[Agent Name]]),"")</f>
        <v>Agent 118</v>
      </c>
      <c r="P436">
        <f t="shared" si="28"/>
        <v>11</v>
      </c>
    </row>
    <row r="437" spans="1:16" x14ac:dyDescent="0.3">
      <c r="A437" t="s">
        <v>559</v>
      </c>
      <c r="B437" s="5">
        <v>46262</v>
      </c>
      <c r="C437" t="s">
        <v>178</v>
      </c>
      <c r="D437" t="s">
        <v>77</v>
      </c>
      <c r="E437">
        <v>10000</v>
      </c>
      <c r="F437" t="s">
        <v>72</v>
      </c>
      <c r="G437" t="s">
        <v>73</v>
      </c>
      <c r="H437" t="s">
        <v>96</v>
      </c>
      <c r="I437" t="str">
        <f t="shared" si="25"/>
        <v>2026-08</v>
      </c>
      <c r="J437" t="str">
        <f ca="1">IFERROR(_xludf.XLOOKUP(C437,'Agent Master'!$A:$A,'Agent Master'!$B:$B,"Missing"),"Missing")</f>
        <v>Missing</v>
      </c>
      <c r="K437" t="str">
        <f ca="1">IFERROR(_xludf.XLOOKUP(C437,'Agent Master'!$A:$A,'Agent Master'!$C:$C,"Missing"),"Missing")</f>
        <v>Missing</v>
      </c>
      <c r="L437" t="str">
        <f t="shared" si="26"/>
        <v>August</v>
      </c>
      <c r="M437" t="str">
        <f>_xlfn.XLOOKUP('Transaction Data'!D437,ProductMap[Product Code],ProductMap[Product Name])</f>
        <v>MATM</v>
      </c>
      <c r="N437" t="str">
        <f t="shared" si="27"/>
        <v>2026-08</v>
      </c>
      <c r="O437" t="str" cm="1">
        <f t="array" ref="O437">IFERROR(_xlfn.XLOOKUP(C437,AgentMaster[[#All],[Agent ID]],AgentMaster[[#All],[Agent Name]]),"")</f>
        <v>Agent 112</v>
      </c>
      <c r="P437">
        <f t="shared" si="28"/>
        <v>7</v>
      </c>
    </row>
    <row r="438" spans="1:16" x14ac:dyDescent="0.3">
      <c r="A438" t="s">
        <v>560</v>
      </c>
      <c r="B438" s="5">
        <v>46286</v>
      </c>
      <c r="C438" t="s">
        <v>104</v>
      </c>
      <c r="D438" t="s">
        <v>77</v>
      </c>
      <c r="E438">
        <v>500</v>
      </c>
      <c r="F438" t="s">
        <v>72</v>
      </c>
      <c r="G438" t="s">
        <v>84</v>
      </c>
      <c r="H438" t="s">
        <v>74</v>
      </c>
      <c r="I438" t="str">
        <f t="shared" si="25"/>
        <v>2026-09</v>
      </c>
      <c r="J438" t="str">
        <f ca="1">IFERROR(_xludf.XLOOKUP(C438,'Agent Master'!$A:$A,'Agent Master'!$B:$B,"Missing"),"Missing")</f>
        <v>Missing</v>
      </c>
      <c r="K438" t="str">
        <f ca="1">IFERROR(_xludf.XLOOKUP(C438,'Agent Master'!$A:$A,'Agent Master'!$C:$C,"Missing"),"Missing")</f>
        <v>Missing</v>
      </c>
      <c r="L438" t="str">
        <f t="shared" si="26"/>
        <v>September</v>
      </c>
      <c r="M438" t="str">
        <f>_xlfn.XLOOKUP('Transaction Data'!D438,ProductMap[Product Code],ProductMap[Product Name])</f>
        <v>MATM</v>
      </c>
      <c r="N438" t="str">
        <f t="shared" si="27"/>
        <v>2026-09</v>
      </c>
      <c r="O438" t="str" cm="1">
        <f t="array" ref="O438">IFERROR(_xlfn.XLOOKUP(C438,AgentMaster[[#All],[Agent ID]],AgentMaster[[#All],[Agent Name]]),"")</f>
        <v>Agent 116</v>
      </c>
      <c r="P438">
        <f t="shared" si="28"/>
        <v>15</v>
      </c>
    </row>
    <row r="439" spans="1:16" x14ac:dyDescent="0.3">
      <c r="A439" t="s">
        <v>561</v>
      </c>
      <c r="B439" s="5">
        <v>46259</v>
      </c>
      <c r="C439" t="s">
        <v>98</v>
      </c>
      <c r="D439" t="s">
        <v>90</v>
      </c>
      <c r="E439">
        <v>15000</v>
      </c>
      <c r="F439" t="s">
        <v>72</v>
      </c>
      <c r="G439" t="s">
        <v>84</v>
      </c>
      <c r="H439" t="s">
        <v>96</v>
      </c>
      <c r="I439" t="str">
        <f t="shared" si="25"/>
        <v>2026-08</v>
      </c>
      <c r="J439" t="str">
        <f ca="1">IFERROR(_xludf.XLOOKUP(C439,'Agent Master'!$A:$A,'Agent Master'!$B:$B,"Missing"),"Missing")</f>
        <v>Missing</v>
      </c>
      <c r="K439" t="str">
        <f ca="1">IFERROR(_xludf.XLOOKUP(C439,'Agent Master'!$A:$A,'Agent Master'!$C:$C,"Missing"),"Missing")</f>
        <v>Missing</v>
      </c>
      <c r="L439" t="str">
        <f t="shared" si="26"/>
        <v>August</v>
      </c>
      <c r="M439" t="str">
        <f>_xlfn.XLOOKUP('Transaction Data'!D439,ProductMap[Product Code],ProductMap[Product Name])</f>
        <v>UPI</v>
      </c>
      <c r="N439" t="str">
        <f t="shared" si="27"/>
        <v>2026-08</v>
      </c>
      <c r="O439" t="str" cm="1">
        <f t="array" ref="O439">IFERROR(_xlfn.XLOOKUP(C439,AgentMaster[[#All],[Agent ID]],AgentMaster[[#All],[Agent Name]]),"")</f>
        <v/>
      </c>
      <c r="P439">
        <f t="shared" si="28"/>
        <v>25</v>
      </c>
    </row>
    <row r="440" spans="1:16" x14ac:dyDescent="0.3">
      <c r="A440" t="s">
        <v>562</v>
      </c>
      <c r="B440" s="5">
        <v>46241</v>
      </c>
      <c r="C440" t="s">
        <v>157</v>
      </c>
      <c r="D440" t="s">
        <v>71</v>
      </c>
      <c r="E440">
        <v>1500</v>
      </c>
      <c r="F440" t="s">
        <v>72</v>
      </c>
      <c r="G440" t="s">
        <v>84</v>
      </c>
      <c r="H440" t="s">
        <v>96</v>
      </c>
      <c r="I440" t="str">
        <f t="shared" si="25"/>
        <v>2026-08</v>
      </c>
      <c r="J440" t="str">
        <f ca="1">IFERROR(_xludf.XLOOKUP(C440,'Agent Master'!$A:$A,'Agent Master'!$B:$B,"Missing"),"Missing")</f>
        <v>Missing</v>
      </c>
      <c r="K440" t="str">
        <f ca="1">IFERROR(_xludf.XLOOKUP(C440,'Agent Master'!$A:$A,'Agent Master'!$C:$C,"Missing"),"Missing")</f>
        <v>Missing</v>
      </c>
      <c r="L440" t="str">
        <f t="shared" si="26"/>
        <v>August</v>
      </c>
      <c r="M440" t="str">
        <f>_xlfn.XLOOKUP('Transaction Data'!D440,ProductMap[Product Code],ProductMap[Product Name])</f>
        <v>AEPS</v>
      </c>
      <c r="N440" t="str">
        <f t="shared" si="27"/>
        <v>2026-08</v>
      </c>
      <c r="O440" t="str" cm="1">
        <f t="array" ref="O440">IFERROR(_xlfn.XLOOKUP(C440,AgentMaster[[#All],[Agent ID]],AgentMaster[[#All],[Agent Name]]),"")</f>
        <v>Agent 106</v>
      </c>
      <c r="P440">
        <f t="shared" si="28"/>
        <v>8</v>
      </c>
    </row>
    <row r="441" spans="1:16" x14ac:dyDescent="0.3">
      <c r="A441" t="s">
        <v>563</v>
      </c>
      <c r="B441" s="5">
        <v>46241</v>
      </c>
      <c r="C441" t="s">
        <v>161</v>
      </c>
      <c r="D441" t="s">
        <v>71</v>
      </c>
      <c r="E441">
        <v>750</v>
      </c>
      <c r="F441" t="s">
        <v>72</v>
      </c>
      <c r="G441" t="s">
        <v>84</v>
      </c>
      <c r="H441" t="s">
        <v>78</v>
      </c>
      <c r="I441" t="str">
        <f t="shared" si="25"/>
        <v>2026-08</v>
      </c>
      <c r="J441" t="str">
        <f ca="1">IFERROR(_xludf.XLOOKUP(C441,'Agent Master'!$A:$A,'Agent Master'!$B:$B,"Missing"),"Missing")</f>
        <v>Missing</v>
      </c>
      <c r="K441" t="str">
        <f ca="1">IFERROR(_xludf.XLOOKUP(C441,'Agent Master'!$A:$A,'Agent Master'!$C:$C,"Missing"),"Missing")</f>
        <v>Missing</v>
      </c>
      <c r="L441" t="str">
        <f t="shared" si="26"/>
        <v>August</v>
      </c>
      <c r="M441" t="str">
        <f>_xlfn.XLOOKUP('Transaction Data'!D441,ProductMap[Product Code],ProductMap[Product Name])</f>
        <v>AEPS</v>
      </c>
      <c r="N441" t="str">
        <f t="shared" si="27"/>
        <v>2026-08</v>
      </c>
      <c r="O441" t="str" cm="1">
        <f t="array" ref="O441">IFERROR(_xlfn.XLOOKUP(C441,AgentMaster[[#All],[Agent ID]],AgentMaster[[#All],[Agent Name]]),"")</f>
        <v>Agent 109</v>
      </c>
      <c r="P441">
        <f t="shared" si="28"/>
        <v>16</v>
      </c>
    </row>
    <row r="442" spans="1:16" x14ac:dyDescent="0.3">
      <c r="A442" t="s">
        <v>564</v>
      </c>
      <c r="B442" s="5">
        <v>46241</v>
      </c>
      <c r="C442" t="s">
        <v>80</v>
      </c>
      <c r="D442" t="s">
        <v>71</v>
      </c>
      <c r="E442">
        <v>2000</v>
      </c>
      <c r="F442" t="s">
        <v>72</v>
      </c>
      <c r="G442" t="s">
        <v>73</v>
      </c>
      <c r="H442" t="s">
        <v>96</v>
      </c>
      <c r="I442" t="str">
        <f t="shared" si="25"/>
        <v>2026-08</v>
      </c>
      <c r="J442" t="str">
        <f ca="1">IFERROR(_xludf.XLOOKUP(C442,'Agent Master'!$A:$A,'Agent Master'!$B:$B,"Missing"),"Missing")</f>
        <v>Missing</v>
      </c>
      <c r="K442" t="str">
        <f ca="1">IFERROR(_xludf.XLOOKUP(C442,'Agent Master'!$A:$A,'Agent Master'!$C:$C,"Missing"),"Missing")</f>
        <v>Missing</v>
      </c>
      <c r="L442" t="str">
        <f t="shared" si="26"/>
        <v>August</v>
      </c>
      <c r="M442" t="str">
        <f>_xlfn.XLOOKUP('Transaction Data'!D442,ProductMap[Product Code],ProductMap[Product Name])</f>
        <v>AEPS</v>
      </c>
      <c r="N442" t="str">
        <f t="shared" si="27"/>
        <v>2026-08</v>
      </c>
      <c r="O442" t="str" cm="1">
        <f t="array" ref="O442">IFERROR(_xlfn.XLOOKUP(C442,AgentMaster[[#All],[Agent ID]],AgentMaster[[#All],[Agent Name]]),"")</f>
        <v>Agent 102</v>
      </c>
      <c r="P442">
        <f t="shared" si="28"/>
        <v>13</v>
      </c>
    </row>
    <row r="443" spans="1:16" x14ac:dyDescent="0.3">
      <c r="A443" t="s">
        <v>565</v>
      </c>
      <c r="B443" s="5">
        <v>46290</v>
      </c>
      <c r="C443" t="s">
        <v>147</v>
      </c>
      <c r="D443" t="s">
        <v>71</v>
      </c>
      <c r="E443">
        <v>1500</v>
      </c>
      <c r="F443" t="s">
        <v>72</v>
      </c>
      <c r="G443" t="s">
        <v>84</v>
      </c>
      <c r="H443" t="s">
        <v>81</v>
      </c>
      <c r="I443" t="str">
        <f t="shared" si="25"/>
        <v>2026-09</v>
      </c>
      <c r="J443" t="str">
        <f ca="1">IFERROR(_xludf.XLOOKUP(C443,'Agent Master'!$A:$A,'Agent Master'!$B:$B,"Missing"),"Missing")</f>
        <v>Missing</v>
      </c>
      <c r="K443" t="str">
        <f ca="1">IFERROR(_xludf.XLOOKUP(C443,'Agent Master'!$A:$A,'Agent Master'!$C:$C,"Missing"),"Missing")</f>
        <v>Missing</v>
      </c>
      <c r="L443" t="str">
        <f t="shared" si="26"/>
        <v>September</v>
      </c>
      <c r="M443" t="str">
        <f>_xlfn.XLOOKUP('Transaction Data'!D443,ProductMap[Product Code],ProductMap[Product Name])</f>
        <v>AEPS</v>
      </c>
      <c r="N443" t="str">
        <f t="shared" si="27"/>
        <v>2026-09</v>
      </c>
      <c r="O443" t="str" cm="1">
        <f t="array" ref="O443">IFERROR(_xlfn.XLOOKUP(C443,AgentMaster[[#All],[Agent ID]],AgentMaster[[#All],[Agent Name]]),"")</f>
        <v>Agent 125</v>
      </c>
      <c r="P443">
        <f t="shared" si="28"/>
        <v>7</v>
      </c>
    </row>
    <row r="444" spans="1:16" x14ac:dyDescent="0.3">
      <c r="A444" t="s">
        <v>566</v>
      </c>
      <c r="B444" s="5">
        <v>46281</v>
      </c>
      <c r="C444" t="s">
        <v>112</v>
      </c>
      <c r="D444" t="s">
        <v>90</v>
      </c>
      <c r="E444">
        <v>10000</v>
      </c>
      <c r="F444" t="s">
        <v>72</v>
      </c>
      <c r="G444" t="s">
        <v>73</v>
      </c>
      <c r="H444" t="s">
        <v>78</v>
      </c>
      <c r="I444" t="str">
        <f t="shared" si="25"/>
        <v>2026-09</v>
      </c>
      <c r="J444" t="str">
        <f ca="1">IFERROR(_xludf.XLOOKUP(C444,'Agent Master'!$A:$A,'Agent Master'!$B:$B,"Missing"),"Missing")</f>
        <v>Missing</v>
      </c>
      <c r="K444" t="str">
        <f ca="1">IFERROR(_xludf.XLOOKUP(C444,'Agent Master'!$A:$A,'Agent Master'!$C:$C,"Missing"),"Missing")</f>
        <v>Missing</v>
      </c>
      <c r="L444" t="str">
        <f t="shared" si="26"/>
        <v>September</v>
      </c>
      <c r="M444" t="str">
        <f>_xlfn.XLOOKUP('Transaction Data'!D444,ProductMap[Product Code],ProductMap[Product Name])</f>
        <v>UPI</v>
      </c>
      <c r="N444" t="str">
        <f t="shared" si="27"/>
        <v>2026-09</v>
      </c>
      <c r="O444" t="str" cm="1">
        <f t="array" ref="O444">IFERROR(_xlfn.XLOOKUP(C444,AgentMaster[[#All],[Agent ID]],AgentMaster[[#All],[Agent Name]]),"")</f>
        <v>Agent 136</v>
      </c>
      <c r="P444">
        <f t="shared" si="28"/>
        <v>16</v>
      </c>
    </row>
    <row r="445" spans="1:16" x14ac:dyDescent="0.3">
      <c r="A445" t="s">
        <v>567</v>
      </c>
      <c r="B445" s="5">
        <v>46245</v>
      </c>
      <c r="C445" t="s">
        <v>161</v>
      </c>
      <c r="D445" t="s">
        <v>87</v>
      </c>
      <c r="E445">
        <v>1500</v>
      </c>
      <c r="F445" t="s">
        <v>72</v>
      </c>
      <c r="G445" t="s">
        <v>84</v>
      </c>
      <c r="H445" t="s">
        <v>74</v>
      </c>
      <c r="I445" t="str">
        <f t="shared" si="25"/>
        <v>2026-08</v>
      </c>
      <c r="J445" t="str">
        <f ca="1">IFERROR(_xludf.XLOOKUP(C445,'Agent Master'!$A:$A,'Agent Master'!$B:$B,"Missing"),"Missing")</f>
        <v>Missing</v>
      </c>
      <c r="K445" t="str">
        <f ca="1">IFERROR(_xludf.XLOOKUP(C445,'Agent Master'!$A:$A,'Agent Master'!$C:$C,"Missing"),"Missing")</f>
        <v>Missing</v>
      </c>
      <c r="L445" t="str">
        <f t="shared" si="26"/>
        <v>August</v>
      </c>
      <c r="M445" t="str">
        <f>_xlfn.XLOOKUP('Transaction Data'!D445,ProductMap[Product Code],ProductMap[Product Name])</f>
        <v>APAY</v>
      </c>
      <c r="N445" t="str">
        <f t="shared" si="27"/>
        <v>2026-08</v>
      </c>
      <c r="O445" t="str" cm="1">
        <f t="array" ref="O445">IFERROR(_xlfn.XLOOKUP(C445,AgentMaster[[#All],[Agent ID]],AgentMaster[[#All],[Agent Name]]),"")</f>
        <v>Agent 109</v>
      </c>
      <c r="P445">
        <f t="shared" si="28"/>
        <v>16</v>
      </c>
    </row>
    <row r="446" spans="1:16" x14ac:dyDescent="0.3">
      <c r="A446" t="s">
        <v>568</v>
      </c>
      <c r="B446" s="5">
        <v>46239</v>
      </c>
      <c r="C446" t="s">
        <v>199</v>
      </c>
      <c r="D446" t="s">
        <v>110</v>
      </c>
      <c r="E446">
        <v>1500</v>
      </c>
      <c r="F446" t="s">
        <v>72</v>
      </c>
      <c r="G446" t="s">
        <v>84</v>
      </c>
      <c r="H446" t="s">
        <v>78</v>
      </c>
      <c r="I446" t="str">
        <f t="shared" si="25"/>
        <v>2026-08</v>
      </c>
      <c r="J446" t="str">
        <f ca="1">IFERROR(_xludf.XLOOKUP(C446,'Agent Master'!$A:$A,'Agent Master'!$B:$B,"Missing"),"Missing")</f>
        <v>Missing</v>
      </c>
      <c r="K446" t="str">
        <f ca="1">IFERROR(_xludf.XLOOKUP(C446,'Agent Master'!$A:$A,'Agent Master'!$C:$C,"Missing"),"Missing")</f>
        <v>Missing</v>
      </c>
      <c r="L446" t="str">
        <f t="shared" si="26"/>
        <v>August</v>
      </c>
      <c r="M446" t="str">
        <f>_xlfn.XLOOKUP('Transaction Data'!D446,ProductMap[Product Code],ProductMap[Product Name])</f>
        <v>DMT</v>
      </c>
      <c r="N446" t="str">
        <f t="shared" si="27"/>
        <v>2026-08</v>
      </c>
      <c r="O446" t="str" cm="1">
        <f t="array" ref="O446">IFERROR(_xlfn.XLOOKUP(C446,AgentMaster[[#All],[Agent ID]],AgentMaster[[#All],[Agent Name]]),"")</f>
        <v>Agent 111</v>
      </c>
      <c r="P446">
        <f t="shared" si="28"/>
        <v>8</v>
      </c>
    </row>
    <row r="447" spans="1:16" x14ac:dyDescent="0.3">
      <c r="A447" t="s">
        <v>569</v>
      </c>
      <c r="B447" s="5">
        <v>46285</v>
      </c>
      <c r="C447" t="s">
        <v>108</v>
      </c>
      <c r="D447" t="s">
        <v>87</v>
      </c>
      <c r="E447">
        <v>1500</v>
      </c>
      <c r="F447" t="s">
        <v>72</v>
      </c>
      <c r="G447" t="s">
        <v>73</v>
      </c>
      <c r="H447" t="s">
        <v>78</v>
      </c>
      <c r="I447" t="str">
        <f t="shared" si="25"/>
        <v>2026-09</v>
      </c>
      <c r="J447" t="str">
        <f ca="1">IFERROR(_xludf.XLOOKUP(C447,'Agent Master'!$A:$A,'Agent Master'!$B:$B,"Missing"),"Missing")</f>
        <v>Missing</v>
      </c>
      <c r="K447" t="str">
        <f ca="1">IFERROR(_xludf.XLOOKUP(C447,'Agent Master'!$A:$A,'Agent Master'!$C:$C,"Missing"),"Missing")</f>
        <v>Missing</v>
      </c>
      <c r="L447" t="str">
        <f t="shared" si="26"/>
        <v>September</v>
      </c>
      <c r="M447" t="str">
        <f>_xlfn.XLOOKUP('Transaction Data'!D447,ProductMap[Product Code],ProductMap[Product Name])</f>
        <v>APAY</v>
      </c>
      <c r="N447" t="str">
        <f t="shared" si="27"/>
        <v>2026-09</v>
      </c>
      <c r="O447" t="str" cm="1">
        <f t="array" ref="O447">IFERROR(_xlfn.XLOOKUP(C447,AgentMaster[[#All],[Agent ID]],AgentMaster[[#All],[Agent Name]]),"")</f>
        <v>Agent 105</v>
      </c>
      <c r="P447">
        <f t="shared" si="28"/>
        <v>8</v>
      </c>
    </row>
    <row r="448" spans="1:16" x14ac:dyDescent="0.3">
      <c r="A448" t="s">
        <v>570</v>
      </c>
      <c r="B448" s="5">
        <v>46273</v>
      </c>
      <c r="C448" t="s">
        <v>236</v>
      </c>
      <c r="D448" t="s">
        <v>90</v>
      </c>
      <c r="E448">
        <v>5000</v>
      </c>
      <c r="F448" t="s">
        <v>72</v>
      </c>
      <c r="G448" t="s">
        <v>73</v>
      </c>
      <c r="H448" t="s">
        <v>96</v>
      </c>
      <c r="I448" t="str">
        <f t="shared" si="25"/>
        <v>2026-09</v>
      </c>
      <c r="J448" t="str">
        <f ca="1">IFERROR(_xludf.XLOOKUP(C448,'Agent Master'!$A:$A,'Agent Master'!$B:$B,"Missing"),"Missing")</f>
        <v>Missing</v>
      </c>
      <c r="K448" t="str">
        <f ca="1">IFERROR(_xludf.XLOOKUP(C448,'Agent Master'!$A:$A,'Agent Master'!$C:$C,"Missing"),"Missing")</f>
        <v>Missing</v>
      </c>
      <c r="L448" t="str">
        <f t="shared" si="26"/>
        <v>September</v>
      </c>
      <c r="M448" t="str">
        <f>_xlfn.XLOOKUP('Transaction Data'!D448,ProductMap[Product Code],ProductMap[Product Name])</f>
        <v>UPI</v>
      </c>
      <c r="N448" t="str">
        <f t="shared" si="27"/>
        <v>2026-09</v>
      </c>
      <c r="O448" t="str" cm="1">
        <f t="array" ref="O448">IFERROR(_xlfn.XLOOKUP(C448,AgentMaster[[#All],[Agent ID]],AgentMaster[[#All],[Agent Name]]),"")</f>
        <v>Agent 140</v>
      </c>
      <c r="P448">
        <f t="shared" si="28"/>
        <v>5</v>
      </c>
    </row>
    <row r="449" spans="1:16" x14ac:dyDescent="0.3">
      <c r="A449" t="s">
        <v>571</v>
      </c>
      <c r="B449" s="5">
        <v>46235</v>
      </c>
      <c r="C449" t="s">
        <v>141</v>
      </c>
      <c r="D449" t="s">
        <v>87</v>
      </c>
      <c r="E449">
        <v>10000</v>
      </c>
      <c r="F449" t="s">
        <v>72</v>
      </c>
      <c r="G449" t="s">
        <v>84</v>
      </c>
      <c r="H449" t="s">
        <v>78</v>
      </c>
      <c r="I449" t="str">
        <f t="shared" si="25"/>
        <v>2026-08</v>
      </c>
      <c r="J449" t="str">
        <f ca="1">IFERROR(_xludf.XLOOKUP(C449,'Agent Master'!$A:$A,'Agent Master'!$B:$B,"Missing"),"Missing")</f>
        <v>Missing</v>
      </c>
      <c r="K449" t="str">
        <f ca="1">IFERROR(_xludf.XLOOKUP(C449,'Agent Master'!$A:$A,'Agent Master'!$C:$C,"Missing"),"Missing")</f>
        <v>Missing</v>
      </c>
      <c r="L449" t="str">
        <f t="shared" si="26"/>
        <v>August</v>
      </c>
      <c r="M449" t="str">
        <f>_xlfn.XLOOKUP('Transaction Data'!D449,ProductMap[Product Code],ProductMap[Product Name])</f>
        <v>APAY</v>
      </c>
      <c r="N449" t="str">
        <f t="shared" si="27"/>
        <v>2026-08</v>
      </c>
      <c r="O449" t="str" cm="1">
        <f t="array" ref="O449">IFERROR(_xlfn.XLOOKUP(C449,AgentMaster[[#All],[Agent ID]],AgentMaster[[#All],[Agent Name]]),"")</f>
        <v>Agent 126</v>
      </c>
      <c r="P449">
        <f t="shared" si="28"/>
        <v>11</v>
      </c>
    </row>
    <row r="450" spans="1:16" x14ac:dyDescent="0.3">
      <c r="A450" t="s">
        <v>572</v>
      </c>
      <c r="B450" s="5">
        <v>46256</v>
      </c>
      <c r="C450" t="s">
        <v>139</v>
      </c>
      <c r="D450" t="s">
        <v>77</v>
      </c>
      <c r="E450">
        <v>10000</v>
      </c>
      <c r="F450" t="s">
        <v>72</v>
      </c>
      <c r="G450" t="s">
        <v>84</v>
      </c>
      <c r="H450" t="s">
        <v>96</v>
      </c>
      <c r="I450" t="str">
        <f t="shared" ref="I450:I501" si="29">TEXT(B450,"yyyy-mm")</f>
        <v>2026-08</v>
      </c>
      <c r="J450" t="str">
        <f ca="1">IFERROR(_xludf.XLOOKUP(C450,'Agent Master'!$A:$A,'Agent Master'!$B:$B,"Missing"),"Missing")</f>
        <v>Missing</v>
      </c>
      <c r="K450" t="str">
        <f ca="1">IFERROR(_xludf.XLOOKUP(C450,'Agent Master'!$A:$A,'Agent Master'!$C:$C,"Missing"),"Missing")</f>
        <v>Missing</v>
      </c>
      <c r="L450" t="str">
        <f t="shared" si="26"/>
        <v>August</v>
      </c>
      <c r="M450" t="str">
        <f>_xlfn.XLOOKUP('Transaction Data'!D450,ProductMap[Product Code],ProductMap[Product Name])</f>
        <v>MATM</v>
      </c>
      <c r="N450" t="str">
        <f t="shared" si="27"/>
        <v>2026-08</v>
      </c>
      <c r="O450" t="str" cm="1">
        <f t="array" ref="O450">IFERROR(_xlfn.XLOOKUP(C450,AgentMaster[[#All],[Agent ID]],AgentMaster[[#All],[Agent Name]]),"")</f>
        <v>Agent 128</v>
      </c>
      <c r="P450">
        <f t="shared" si="28"/>
        <v>16</v>
      </c>
    </row>
    <row r="451" spans="1:16" x14ac:dyDescent="0.3">
      <c r="A451" t="s">
        <v>573</v>
      </c>
      <c r="B451" s="5">
        <v>46273</v>
      </c>
      <c r="C451" t="s">
        <v>83</v>
      </c>
      <c r="D451" t="s">
        <v>110</v>
      </c>
      <c r="E451">
        <v>2000</v>
      </c>
      <c r="F451" t="s">
        <v>72</v>
      </c>
      <c r="G451" t="s">
        <v>84</v>
      </c>
      <c r="H451" t="s">
        <v>96</v>
      </c>
      <c r="I451" t="str">
        <f t="shared" si="29"/>
        <v>2026-09</v>
      </c>
      <c r="J451" t="str">
        <f ca="1">IFERROR(_xludf.XLOOKUP(C451,'Agent Master'!$A:$A,'Agent Master'!$B:$B,"Missing"),"Missing")</f>
        <v>Missing</v>
      </c>
      <c r="K451" t="str">
        <f ca="1">IFERROR(_xludf.XLOOKUP(C451,'Agent Master'!$A:$A,'Agent Master'!$C:$C,"Missing"),"Missing")</f>
        <v>Missing</v>
      </c>
      <c r="L451" t="str">
        <f t="shared" ref="L451:L501" si="30">TEXT(B451,"mmmm")</f>
        <v>September</v>
      </c>
      <c r="M451" t="str">
        <f>_xlfn.XLOOKUP('Transaction Data'!D451,ProductMap[Product Code],ProductMap[Product Name])</f>
        <v>DMT</v>
      </c>
      <c r="N451" t="str">
        <f t="shared" ref="N451:N501" si="31">TEXT(B451,"yyyy-mm")</f>
        <v>2026-09</v>
      </c>
      <c r="O451" t="str" cm="1">
        <f t="array" ref="O451">IFERROR(_xlfn.XLOOKUP(C451,AgentMaster[[#All],[Agent ID]],AgentMaster[[#All],[Agent Name]]),"")</f>
        <v>Agent 113</v>
      </c>
      <c r="P451">
        <f t="shared" ref="P451:P501" si="32">COUNTIFS(O:O,O451,F:F,"Success")</f>
        <v>12</v>
      </c>
    </row>
    <row r="452" spans="1:16" x14ac:dyDescent="0.3">
      <c r="A452" t="s">
        <v>574</v>
      </c>
      <c r="B452" s="5">
        <v>46253</v>
      </c>
      <c r="C452" t="s">
        <v>98</v>
      </c>
      <c r="D452" t="s">
        <v>110</v>
      </c>
      <c r="E452">
        <v>10000</v>
      </c>
      <c r="F452" t="s">
        <v>72</v>
      </c>
      <c r="G452" t="s">
        <v>84</v>
      </c>
      <c r="H452" t="s">
        <v>78</v>
      </c>
      <c r="I452" t="str">
        <f t="shared" si="29"/>
        <v>2026-08</v>
      </c>
      <c r="J452" t="str">
        <f ca="1">IFERROR(_xludf.XLOOKUP(C452,'Agent Master'!$A:$A,'Agent Master'!$B:$B,"Missing"),"Missing")</f>
        <v>Missing</v>
      </c>
      <c r="K452" t="str">
        <f ca="1">IFERROR(_xludf.XLOOKUP(C452,'Agent Master'!$A:$A,'Agent Master'!$C:$C,"Missing"),"Missing")</f>
        <v>Missing</v>
      </c>
      <c r="L452" t="str">
        <f t="shared" si="30"/>
        <v>August</v>
      </c>
      <c r="M452" t="str">
        <f>_xlfn.XLOOKUP('Transaction Data'!D452,ProductMap[Product Code],ProductMap[Product Name])</f>
        <v>DMT</v>
      </c>
      <c r="N452" t="str">
        <f t="shared" si="31"/>
        <v>2026-08</v>
      </c>
      <c r="O452" t="str" cm="1">
        <f t="array" ref="O452">IFERROR(_xlfn.XLOOKUP(C452,AgentMaster[[#All],[Agent ID]],AgentMaster[[#All],[Agent Name]]),"")</f>
        <v/>
      </c>
      <c r="P452">
        <f t="shared" si="32"/>
        <v>25</v>
      </c>
    </row>
    <row r="453" spans="1:16" x14ac:dyDescent="0.3">
      <c r="A453" t="s">
        <v>575</v>
      </c>
      <c r="B453" s="5">
        <v>46252</v>
      </c>
      <c r="C453" t="s">
        <v>141</v>
      </c>
      <c r="D453" t="s">
        <v>87</v>
      </c>
      <c r="E453">
        <v>500</v>
      </c>
      <c r="F453" t="s">
        <v>92</v>
      </c>
      <c r="G453" t="s">
        <v>73</v>
      </c>
      <c r="H453" t="s">
        <v>74</v>
      </c>
      <c r="I453" t="str">
        <f t="shared" si="29"/>
        <v>2026-08</v>
      </c>
      <c r="J453" t="str">
        <f ca="1">IFERROR(_xludf.XLOOKUP(C453,'Agent Master'!$A:$A,'Agent Master'!$B:$B,"Missing"),"Missing")</f>
        <v>Missing</v>
      </c>
      <c r="K453" t="str">
        <f ca="1">IFERROR(_xludf.XLOOKUP(C453,'Agent Master'!$A:$A,'Agent Master'!$C:$C,"Missing"),"Missing")</f>
        <v>Missing</v>
      </c>
      <c r="L453" t="str">
        <f t="shared" si="30"/>
        <v>August</v>
      </c>
      <c r="M453" t="str">
        <f>_xlfn.XLOOKUP('Transaction Data'!D453,ProductMap[Product Code],ProductMap[Product Name])</f>
        <v>APAY</v>
      </c>
      <c r="N453" t="str">
        <f t="shared" si="31"/>
        <v>2026-08</v>
      </c>
      <c r="O453" t="str" cm="1">
        <f t="array" ref="O453">IFERROR(_xlfn.XLOOKUP(C453,AgentMaster[[#All],[Agent ID]],AgentMaster[[#All],[Agent Name]]),"")</f>
        <v>Agent 126</v>
      </c>
      <c r="P453">
        <f t="shared" si="32"/>
        <v>11</v>
      </c>
    </row>
    <row r="454" spans="1:16" x14ac:dyDescent="0.3">
      <c r="A454" t="s">
        <v>576</v>
      </c>
      <c r="B454" s="5">
        <v>46278</v>
      </c>
      <c r="C454" t="s">
        <v>112</v>
      </c>
      <c r="D454" t="s">
        <v>71</v>
      </c>
      <c r="E454">
        <v>15000</v>
      </c>
      <c r="F454" t="s">
        <v>72</v>
      </c>
      <c r="G454" t="s">
        <v>73</v>
      </c>
      <c r="H454" t="s">
        <v>74</v>
      </c>
      <c r="I454" t="str">
        <f t="shared" si="29"/>
        <v>2026-09</v>
      </c>
      <c r="J454" t="str">
        <f ca="1">IFERROR(_xludf.XLOOKUP(C454,'Agent Master'!$A:$A,'Agent Master'!$B:$B,"Missing"),"Missing")</f>
        <v>Missing</v>
      </c>
      <c r="K454" t="str">
        <f ca="1">IFERROR(_xludf.XLOOKUP(C454,'Agent Master'!$A:$A,'Agent Master'!$C:$C,"Missing"),"Missing")</f>
        <v>Missing</v>
      </c>
      <c r="L454" t="str">
        <f t="shared" si="30"/>
        <v>September</v>
      </c>
      <c r="M454" t="str">
        <f>_xlfn.XLOOKUP('Transaction Data'!D454,ProductMap[Product Code],ProductMap[Product Name])</f>
        <v>AEPS</v>
      </c>
      <c r="N454" t="str">
        <f t="shared" si="31"/>
        <v>2026-09</v>
      </c>
      <c r="O454" t="str" cm="1">
        <f t="array" ref="O454">IFERROR(_xlfn.XLOOKUP(C454,AgentMaster[[#All],[Agent ID]],AgentMaster[[#All],[Agent Name]]),"")</f>
        <v>Agent 136</v>
      </c>
      <c r="P454">
        <f t="shared" si="32"/>
        <v>16</v>
      </c>
    </row>
    <row r="455" spans="1:16" x14ac:dyDescent="0.3">
      <c r="A455" t="s">
        <v>577</v>
      </c>
      <c r="B455" s="5">
        <v>46263</v>
      </c>
      <c r="C455" t="s">
        <v>242</v>
      </c>
      <c r="D455" t="s">
        <v>77</v>
      </c>
      <c r="E455">
        <v>500</v>
      </c>
      <c r="F455" t="s">
        <v>72</v>
      </c>
      <c r="G455" t="s">
        <v>73</v>
      </c>
      <c r="H455" t="s">
        <v>78</v>
      </c>
      <c r="I455" t="str">
        <f t="shared" si="29"/>
        <v>2026-08</v>
      </c>
      <c r="J455" t="str">
        <f ca="1">IFERROR(_xludf.XLOOKUP(C455,'Agent Master'!$A:$A,'Agent Master'!$B:$B,"Missing"),"Missing")</f>
        <v>Missing</v>
      </c>
      <c r="K455" t="str">
        <f ca="1">IFERROR(_xludf.XLOOKUP(C455,'Agent Master'!$A:$A,'Agent Master'!$C:$C,"Missing"),"Missing")</f>
        <v>Missing</v>
      </c>
      <c r="L455" t="str">
        <f t="shared" si="30"/>
        <v>August</v>
      </c>
      <c r="M455" t="str">
        <f>_xlfn.XLOOKUP('Transaction Data'!D455,ProductMap[Product Code],ProductMap[Product Name])</f>
        <v>MATM</v>
      </c>
      <c r="N455" t="str">
        <f t="shared" si="31"/>
        <v>2026-08</v>
      </c>
      <c r="O455" t="str" cm="1">
        <f t="array" ref="O455">IFERROR(_xlfn.XLOOKUP(C455,AgentMaster[[#All],[Agent ID]],AgentMaster[[#All],[Agent Name]]),"")</f>
        <v>Agent 119</v>
      </c>
      <c r="P455">
        <f t="shared" si="32"/>
        <v>13</v>
      </c>
    </row>
    <row r="456" spans="1:16" x14ac:dyDescent="0.3">
      <c r="A456" t="s">
        <v>578</v>
      </c>
      <c r="B456" s="5">
        <v>46243</v>
      </c>
      <c r="C456" t="s">
        <v>98</v>
      </c>
      <c r="D456" t="s">
        <v>87</v>
      </c>
      <c r="E456">
        <v>1000</v>
      </c>
      <c r="F456" t="s">
        <v>72</v>
      </c>
      <c r="G456" t="s">
        <v>73</v>
      </c>
      <c r="H456" t="s">
        <v>74</v>
      </c>
      <c r="I456" t="str">
        <f t="shared" si="29"/>
        <v>2026-08</v>
      </c>
      <c r="J456" t="str">
        <f ca="1">IFERROR(_xludf.XLOOKUP(C456,'Agent Master'!$A:$A,'Agent Master'!$B:$B,"Missing"),"Missing")</f>
        <v>Missing</v>
      </c>
      <c r="K456" t="str">
        <f ca="1">IFERROR(_xludf.XLOOKUP(C456,'Agent Master'!$A:$A,'Agent Master'!$C:$C,"Missing"),"Missing")</f>
        <v>Missing</v>
      </c>
      <c r="L456" t="str">
        <f t="shared" si="30"/>
        <v>August</v>
      </c>
      <c r="M456" t="str">
        <f>_xlfn.XLOOKUP('Transaction Data'!D456,ProductMap[Product Code],ProductMap[Product Name])</f>
        <v>APAY</v>
      </c>
      <c r="N456" t="str">
        <f t="shared" si="31"/>
        <v>2026-08</v>
      </c>
      <c r="O456" t="str" cm="1">
        <f t="array" ref="O456">IFERROR(_xlfn.XLOOKUP(C456,AgentMaster[[#All],[Agent ID]],AgentMaster[[#All],[Agent Name]]),"")</f>
        <v/>
      </c>
      <c r="P456">
        <f t="shared" si="32"/>
        <v>25</v>
      </c>
    </row>
    <row r="457" spans="1:16" x14ac:dyDescent="0.3">
      <c r="A457" t="s">
        <v>579</v>
      </c>
      <c r="B457" s="5">
        <v>46280</v>
      </c>
      <c r="C457" t="s">
        <v>139</v>
      </c>
      <c r="D457" t="s">
        <v>110</v>
      </c>
      <c r="E457">
        <v>500</v>
      </c>
      <c r="F457" t="s">
        <v>72</v>
      </c>
      <c r="G457" t="s">
        <v>73</v>
      </c>
      <c r="H457" t="s">
        <v>78</v>
      </c>
      <c r="I457" t="str">
        <f t="shared" si="29"/>
        <v>2026-09</v>
      </c>
      <c r="J457" t="str">
        <f ca="1">IFERROR(_xludf.XLOOKUP(C457,'Agent Master'!$A:$A,'Agent Master'!$B:$B,"Missing"),"Missing")</f>
        <v>Missing</v>
      </c>
      <c r="K457" t="str">
        <f ca="1">IFERROR(_xludf.XLOOKUP(C457,'Agent Master'!$A:$A,'Agent Master'!$C:$C,"Missing"),"Missing")</f>
        <v>Missing</v>
      </c>
      <c r="L457" t="str">
        <f t="shared" si="30"/>
        <v>September</v>
      </c>
      <c r="M457" t="str">
        <f>_xlfn.XLOOKUP('Transaction Data'!D457,ProductMap[Product Code],ProductMap[Product Name])</f>
        <v>DMT</v>
      </c>
      <c r="N457" t="str">
        <f t="shared" si="31"/>
        <v>2026-09</v>
      </c>
      <c r="O457" t="str" cm="1">
        <f t="array" ref="O457">IFERROR(_xlfn.XLOOKUP(C457,AgentMaster[[#All],[Agent ID]],AgentMaster[[#All],[Agent Name]]),"")</f>
        <v>Agent 128</v>
      </c>
      <c r="P457">
        <f t="shared" si="32"/>
        <v>16</v>
      </c>
    </row>
    <row r="458" spans="1:16" x14ac:dyDescent="0.3">
      <c r="A458" t="s">
        <v>580</v>
      </c>
      <c r="B458" s="5">
        <v>46272</v>
      </c>
      <c r="C458" t="s">
        <v>141</v>
      </c>
      <c r="D458" t="s">
        <v>95</v>
      </c>
      <c r="E458">
        <v>7500</v>
      </c>
      <c r="F458" t="s">
        <v>72</v>
      </c>
      <c r="G458" t="s">
        <v>73</v>
      </c>
      <c r="H458" t="s">
        <v>81</v>
      </c>
      <c r="I458" t="str">
        <f t="shared" si="29"/>
        <v>2026-09</v>
      </c>
      <c r="J458" t="str">
        <f ca="1">IFERROR(_xludf.XLOOKUP(C458,'Agent Master'!$A:$A,'Agent Master'!$B:$B,"Missing"),"Missing")</f>
        <v>Missing</v>
      </c>
      <c r="K458" t="str">
        <f ca="1">IFERROR(_xludf.XLOOKUP(C458,'Agent Master'!$A:$A,'Agent Master'!$C:$C,"Missing"),"Missing")</f>
        <v>Missing</v>
      </c>
      <c r="L458" t="str">
        <f t="shared" si="30"/>
        <v>September</v>
      </c>
      <c r="M458" t="str">
        <f>_xlfn.XLOOKUP('Transaction Data'!D458,ProductMap[Product Code],ProductMap[Product Name])</f>
        <v>BBPS</v>
      </c>
      <c r="N458" t="str">
        <f t="shared" si="31"/>
        <v>2026-09</v>
      </c>
      <c r="O458" t="str" cm="1">
        <f t="array" ref="O458">IFERROR(_xlfn.XLOOKUP(C458,AgentMaster[[#All],[Agent ID]],AgentMaster[[#All],[Agent Name]]),"")</f>
        <v>Agent 126</v>
      </c>
      <c r="P458">
        <f t="shared" si="32"/>
        <v>11</v>
      </c>
    </row>
    <row r="459" spans="1:16" x14ac:dyDescent="0.3">
      <c r="A459" t="s">
        <v>581</v>
      </c>
      <c r="B459" s="5">
        <v>46285</v>
      </c>
      <c r="C459" t="s">
        <v>122</v>
      </c>
      <c r="D459" t="s">
        <v>77</v>
      </c>
      <c r="E459">
        <v>20000</v>
      </c>
      <c r="F459" t="s">
        <v>72</v>
      </c>
      <c r="G459" t="s">
        <v>73</v>
      </c>
      <c r="H459" t="s">
        <v>81</v>
      </c>
      <c r="I459" t="str">
        <f t="shared" si="29"/>
        <v>2026-09</v>
      </c>
      <c r="J459" t="str">
        <f ca="1">IFERROR(_xludf.XLOOKUP(C459,'Agent Master'!$A:$A,'Agent Master'!$B:$B,"Missing"),"Missing")</f>
        <v>Missing</v>
      </c>
      <c r="K459" t="str">
        <f ca="1">IFERROR(_xludf.XLOOKUP(C459,'Agent Master'!$A:$A,'Agent Master'!$C:$C,"Missing"),"Missing")</f>
        <v>Missing</v>
      </c>
      <c r="L459" t="str">
        <f t="shared" si="30"/>
        <v>September</v>
      </c>
      <c r="M459" t="str">
        <f>_xlfn.XLOOKUP('Transaction Data'!D459,ProductMap[Product Code],ProductMap[Product Name])</f>
        <v>MATM</v>
      </c>
      <c r="N459" t="str">
        <f t="shared" si="31"/>
        <v>2026-09</v>
      </c>
      <c r="O459" t="str" cm="1">
        <f t="array" ref="O459">IFERROR(_xlfn.XLOOKUP(C459,AgentMaster[[#All],[Agent ID]],AgentMaster[[#All],[Agent Name]]),"")</f>
        <v>Agent 124</v>
      </c>
      <c r="P459">
        <f t="shared" si="32"/>
        <v>11</v>
      </c>
    </row>
    <row r="460" spans="1:16" x14ac:dyDescent="0.3">
      <c r="A460" t="s">
        <v>582</v>
      </c>
      <c r="B460" s="5">
        <v>46241</v>
      </c>
      <c r="C460" t="s">
        <v>104</v>
      </c>
      <c r="D460" t="s">
        <v>77</v>
      </c>
      <c r="E460">
        <v>12500</v>
      </c>
      <c r="F460" t="s">
        <v>72</v>
      </c>
      <c r="G460" t="s">
        <v>73</v>
      </c>
      <c r="H460" t="s">
        <v>81</v>
      </c>
      <c r="I460" t="str">
        <f t="shared" si="29"/>
        <v>2026-08</v>
      </c>
      <c r="J460" t="str">
        <f ca="1">IFERROR(_xludf.XLOOKUP(C460,'Agent Master'!$A:$A,'Agent Master'!$B:$B,"Missing"),"Missing")</f>
        <v>Missing</v>
      </c>
      <c r="K460" t="str">
        <f ca="1">IFERROR(_xludf.XLOOKUP(C460,'Agent Master'!$A:$A,'Agent Master'!$C:$C,"Missing"),"Missing")</f>
        <v>Missing</v>
      </c>
      <c r="L460" t="str">
        <f t="shared" si="30"/>
        <v>August</v>
      </c>
      <c r="M460" t="str">
        <f>_xlfn.XLOOKUP('Transaction Data'!D460,ProductMap[Product Code],ProductMap[Product Name])</f>
        <v>MATM</v>
      </c>
      <c r="N460" t="str">
        <f t="shared" si="31"/>
        <v>2026-08</v>
      </c>
      <c r="O460" t="str" cm="1">
        <f t="array" ref="O460">IFERROR(_xlfn.XLOOKUP(C460,AgentMaster[[#All],[Agent ID]],AgentMaster[[#All],[Agent Name]]),"")</f>
        <v>Agent 116</v>
      </c>
      <c r="P460">
        <f t="shared" si="32"/>
        <v>15</v>
      </c>
    </row>
    <row r="461" spans="1:16" x14ac:dyDescent="0.3">
      <c r="A461" t="s">
        <v>583</v>
      </c>
      <c r="B461" s="5">
        <v>46271</v>
      </c>
      <c r="D461" t="s">
        <v>77</v>
      </c>
      <c r="E461">
        <v>12500</v>
      </c>
      <c r="F461" t="s">
        <v>72</v>
      </c>
      <c r="G461" t="s">
        <v>84</v>
      </c>
      <c r="H461" t="s">
        <v>78</v>
      </c>
      <c r="I461" t="str">
        <f t="shared" si="29"/>
        <v>2026-09</v>
      </c>
      <c r="J461" t="str">
        <f ca="1">IFERROR(_xludf.XLOOKUP(C461,'Agent Master'!$A:$A,'Agent Master'!$B:$B,"Missing"),"Missing")</f>
        <v>Missing</v>
      </c>
      <c r="K461" t="str">
        <f ca="1">IFERROR(_xludf.XLOOKUP(C461,'Agent Master'!$A:$A,'Agent Master'!$C:$C,"Missing"),"Missing")</f>
        <v>Missing</v>
      </c>
      <c r="L461" t="str">
        <f t="shared" si="30"/>
        <v>September</v>
      </c>
      <c r="M461" t="str">
        <f>_xlfn.XLOOKUP('Transaction Data'!D461,ProductMap[Product Code],ProductMap[Product Name])</f>
        <v>MATM</v>
      </c>
      <c r="N461" t="str">
        <f t="shared" si="31"/>
        <v>2026-09</v>
      </c>
      <c r="O461" t="str" cm="1">
        <f t="array" ref="O461">IFERROR(_xlfn.XLOOKUP(C461,AgentMaster[[#All],[Agent ID]],AgentMaster[[#All],[Agent Name]]),"")</f>
        <v/>
      </c>
      <c r="P461">
        <f t="shared" si="32"/>
        <v>25</v>
      </c>
    </row>
    <row r="462" spans="1:16" x14ac:dyDescent="0.3">
      <c r="A462" t="s">
        <v>584</v>
      </c>
      <c r="B462" s="5">
        <v>46241</v>
      </c>
      <c r="C462" t="s">
        <v>117</v>
      </c>
      <c r="D462" t="s">
        <v>71</v>
      </c>
      <c r="E462">
        <v>1500</v>
      </c>
      <c r="F462" t="s">
        <v>72</v>
      </c>
      <c r="G462" t="s">
        <v>73</v>
      </c>
      <c r="H462" t="s">
        <v>74</v>
      </c>
      <c r="I462" t="str">
        <f t="shared" si="29"/>
        <v>2026-08</v>
      </c>
      <c r="J462" t="str">
        <f ca="1">IFERROR(_xludf.XLOOKUP(C462,'Agent Master'!$A:$A,'Agent Master'!$B:$B,"Missing"),"Missing")</f>
        <v>Missing</v>
      </c>
      <c r="K462" t="str">
        <f ca="1">IFERROR(_xludf.XLOOKUP(C462,'Agent Master'!$A:$A,'Agent Master'!$C:$C,"Missing"),"Missing")</f>
        <v>Missing</v>
      </c>
      <c r="L462" t="str">
        <f t="shared" si="30"/>
        <v>August</v>
      </c>
      <c r="M462" t="str">
        <f>_xlfn.XLOOKUP('Transaction Data'!D462,ProductMap[Product Code],ProductMap[Product Name])</f>
        <v>AEPS</v>
      </c>
      <c r="N462" t="str">
        <f t="shared" si="31"/>
        <v>2026-08</v>
      </c>
      <c r="O462" t="str" cm="1">
        <f t="array" ref="O462">IFERROR(_xlfn.XLOOKUP(C462,AgentMaster[[#All],[Agent ID]],AgentMaster[[#All],[Agent Name]]),"")</f>
        <v>Agent 101</v>
      </c>
      <c r="P462">
        <f t="shared" si="32"/>
        <v>6</v>
      </c>
    </row>
    <row r="463" spans="1:16" x14ac:dyDescent="0.3">
      <c r="A463" t="s">
        <v>585</v>
      </c>
      <c r="B463" s="5">
        <v>46263</v>
      </c>
      <c r="C463" t="s">
        <v>122</v>
      </c>
      <c r="D463" t="s">
        <v>110</v>
      </c>
      <c r="E463">
        <v>5000</v>
      </c>
      <c r="F463" t="s">
        <v>92</v>
      </c>
      <c r="G463" t="s">
        <v>73</v>
      </c>
      <c r="H463" t="s">
        <v>74</v>
      </c>
      <c r="I463" t="str">
        <f t="shared" si="29"/>
        <v>2026-08</v>
      </c>
      <c r="J463" t="str">
        <f ca="1">IFERROR(_xludf.XLOOKUP(C463,'Agent Master'!$A:$A,'Agent Master'!$B:$B,"Missing"),"Missing")</f>
        <v>Missing</v>
      </c>
      <c r="K463" t="str">
        <f ca="1">IFERROR(_xludf.XLOOKUP(C463,'Agent Master'!$A:$A,'Agent Master'!$C:$C,"Missing"),"Missing")</f>
        <v>Missing</v>
      </c>
      <c r="L463" t="str">
        <f t="shared" si="30"/>
        <v>August</v>
      </c>
      <c r="M463" t="str">
        <f>_xlfn.XLOOKUP('Transaction Data'!D463,ProductMap[Product Code],ProductMap[Product Name])</f>
        <v>DMT</v>
      </c>
      <c r="N463" t="str">
        <f t="shared" si="31"/>
        <v>2026-08</v>
      </c>
      <c r="O463" t="str" cm="1">
        <f t="array" ref="O463">IFERROR(_xlfn.XLOOKUP(C463,AgentMaster[[#All],[Agent ID]],AgentMaster[[#All],[Agent Name]]),"")</f>
        <v>Agent 124</v>
      </c>
      <c r="P463">
        <f t="shared" si="32"/>
        <v>11</v>
      </c>
    </row>
    <row r="464" spans="1:16" x14ac:dyDescent="0.3">
      <c r="A464" t="s">
        <v>586</v>
      </c>
      <c r="B464" s="5">
        <v>46257</v>
      </c>
      <c r="C464" t="s">
        <v>80</v>
      </c>
      <c r="D464" t="s">
        <v>110</v>
      </c>
      <c r="E464">
        <v>500</v>
      </c>
      <c r="F464" t="s">
        <v>72</v>
      </c>
      <c r="G464" t="s">
        <v>84</v>
      </c>
      <c r="H464" t="s">
        <v>81</v>
      </c>
      <c r="I464" t="str">
        <f t="shared" si="29"/>
        <v>2026-08</v>
      </c>
      <c r="J464" t="str">
        <f ca="1">IFERROR(_xludf.XLOOKUP(C464,'Agent Master'!$A:$A,'Agent Master'!$B:$B,"Missing"),"Missing")</f>
        <v>Missing</v>
      </c>
      <c r="K464" t="str">
        <f ca="1">IFERROR(_xludf.XLOOKUP(C464,'Agent Master'!$A:$A,'Agent Master'!$C:$C,"Missing"),"Missing")</f>
        <v>Missing</v>
      </c>
      <c r="L464" t="str">
        <f t="shared" si="30"/>
        <v>August</v>
      </c>
      <c r="M464" t="str">
        <f>_xlfn.XLOOKUP('Transaction Data'!D464,ProductMap[Product Code],ProductMap[Product Name])</f>
        <v>DMT</v>
      </c>
      <c r="N464" t="str">
        <f t="shared" si="31"/>
        <v>2026-08</v>
      </c>
      <c r="O464" t="str" cm="1">
        <f t="array" ref="O464">IFERROR(_xlfn.XLOOKUP(C464,AgentMaster[[#All],[Agent ID]],AgentMaster[[#All],[Agent Name]]),"")</f>
        <v>Agent 102</v>
      </c>
      <c r="P464">
        <f t="shared" si="32"/>
        <v>13</v>
      </c>
    </row>
    <row r="465" spans="1:16" x14ac:dyDescent="0.3">
      <c r="A465" t="s">
        <v>587</v>
      </c>
      <c r="B465" s="5">
        <v>46242</v>
      </c>
      <c r="C465" t="s">
        <v>204</v>
      </c>
      <c r="D465" t="s">
        <v>87</v>
      </c>
      <c r="E465">
        <v>1500</v>
      </c>
      <c r="F465" t="s">
        <v>72</v>
      </c>
      <c r="G465" t="s">
        <v>84</v>
      </c>
      <c r="H465" t="s">
        <v>74</v>
      </c>
      <c r="I465" t="str">
        <f t="shared" si="29"/>
        <v>2026-08</v>
      </c>
      <c r="J465" t="str">
        <f ca="1">IFERROR(_xludf.XLOOKUP(C465,'Agent Master'!$A:$A,'Agent Master'!$B:$B,"Missing"),"Missing")</f>
        <v>Missing</v>
      </c>
      <c r="K465" t="str">
        <f ca="1">IFERROR(_xludf.XLOOKUP(C465,'Agent Master'!$A:$A,'Agent Master'!$C:$C,"Missing"),"Missing")</f>
        <v>Missing</v>
      </c>
      <c r="L465" t="str">
        <f t="shared" si="30"/>
        <v>August</v>
      </c>
      <c r="M465" t="str">
        <f>_xlfn.XLOOKUP('Transaction Data'!D465,ProductMap[Product Code],ProductMap[Product Name])</f>
        <v>APAY</v>
      </c>
      <c r="N465" t="str">
        <f t="shared" si="31"/>
        <v>2026-08</v>
      </c>
      <c r="O465" t="str" cm="1">
        <f t="array" ref="O465">IFERROR(_xlfn.XLOOKUP(C465,AgentMaster[[#All],[Agent ID]],AgentMaster[[#All],[Agent Name]]),"")</f>
        <v>Agent 110</v>
      </c>
      <c r="P465">
        <f t="shared" si="32"/>
        <v>17</v>
      </c>
    </row>
    <row r="466" spans="1:16" x14ac:dyDescent="0.3">
      <c r="A466" t="s">
        <v>588</v>
      </c>
      <c r="B466" s="5">
        <v>46268</v>
      </c>
      <c r="C466" t="s">
        <v>127</v>
      </c>
      <c r="D466" t="s">
        <v>87</v>
      </c>
      <c r="E466">
        <v>5000</v>
      </c>
      <c r="F466" t="s">
        <v>72</v>
      </c>
      <c r="G466" t="s">
        <v>84</v>
      </c>
      <c r="H466" t="s">
        <v>78</v>
      </c>
      <c r="I466" t="str">
        <f t="shared" si="29"/>
        <v>2026-09</v>
      </c>
      <c r="J466" t="str">
        <f ca="1">IFERROR(_xludf.XLOOKUP(C466,'Agent Master'!$A:$A,'Agent Master'!$B:$B,"Missing"),"Missing")</f>
        <v>Missing</v>
      </c>
      <c r="K466" t="str">
        <f ca="1">IFERROR(_xludf.XLOOKUP(C466,'Agent Master'!$A:$A,'Agent Master'!$C:$C,"Missing"),"Missing")</f>
        <v>Missing</v>
      </c>
      <c r="L466" t="str">
        <f t="shared" si="30"/>
        <v>September</v>
      </c>
      <c r="M466" t="str">
        <f>_xlfn.XLOOKUP('Transaction Data'!D466,ProductMap[Product Code],ProductMap[Product Name])</f>
        <v>APAY</v>
      </c>
      <c r="N466" t="str">
        <f t="shared" si="31"/>
        <v>2026-09</v>
      </c>
      <c r="O466" t="str" cm="1">
        <f t="array" ref="O466">IFERROR(_xlfn.XLOOKUP(C466,AgentMaster[[#All],[Agent ID]],AgentMaster[[#All],[Agent Name]]),"")</f>
        <v>Agent 131</v>
      </c>
      <c r="P466">
        <f t="shared" si="32"/>
        <v>11</v>
      </c>
    </row>
    <row r="467" spans="1:16" x14ac:dyDescent="0.3">
      <c r="A467" t="s">
        <v>589</v>
      </c>
      <c r="B467" s="5">
        <v>46255</v>
      </c>
      <c r="C467" t="s">
        <v>108</v>
      </c>
      <c r="D467" t="s">
        <v>87</v>
      </c>
      <c r="E467">
        <v>250</v>
      </c>
      <c r="F467" t="s">
        <v>72</v>
      </c>
      <c r="G467" t="s">
        <v>73</v>
      </c>
      <c r="H467" t="s">
        <v>96</v>
      </c>
      <c r="I467" t="str">
        <f t="shared" si="29"/>
        <v>2026-08</v>
      </c>
      <c r="J467" t="str">
        <f ca="1">IFERROR(_xludf.XLOOKUP(C467,'Agent Master'!$A:$A,'Agent Master'!$B:$B,"Missing"),"Missing")</f>
        <v>Missing</v>
      </c>
      <c r="K467" t="str">
        <f ca="1">IFERROR(_xludf.XLOOKUP(C467,'Agent Master'!$A:$A,'Agent Master'!$C:$C,"Missing"),"Missing")</f>
        <v>Missing</v>
      </c>
      <c r="L467" t="str">
        <f t="shared" si="30"/>
        <v>August</v>
      </c>
      <c r="M467" t="str">
        <f>_xlfn.XLOOKUP('Transaction Data'!D467,ProductMap[Product Code],ProductMap[Product Name])</f>
        <v>APAY</v>
      </c>
      <c r="N467" t="str">
        <f t="shared" si="31"/>
        <v>2026-08</v>
      </c>
      <c r="O467" t="str" cm="1">
        <f t="array" ref="O467">IFERROR(_xlfn.XLOOKUP(C467,AgentMaster[[#All],[Agent ID]],AgentMaster[[#All],[Agent Name]]),"")</f>
        <v>Agent 105</v>
      </c>
      <c r="P467">
        <f t="shared" si="32"/>
        <v>8</v>
      </c>
    </row>
    <row r="468" spans="1:16" x14ac:dyDescent="0.3">
      <c r="A468" t="s">
        <v>590</v>
      </c>
      <c r="B468" s="5">
        <v>46276</v>
      </c>
      <c r="C468" t="s">
        <v>76</v>
      </c>
      <c r="D468" t="s">
        <v>77</v>
      </c>
      <c r="E468">
        <v>20000</v>
      </c>
      <c r="F468" t="s">
        <v>72</v>
      </c>
      <c r="G468" t="s">
        <v>73</v>
      </c>
      <c r="H468" t="s">
        <v>74</v>
      </c>
      <c r="I468" t="str">
        <f t="shared" si="29"/>
        <v>2026-09</v>
      </c>
      <c r="J468" t="str">
        <f ca="1">IFERROR(_xludf.XLOOKUP(C468,'Agent Master'!$A:$A,'Agent Master'!$B:$B,"Missing"),"Missing")</f>
        <v>Missing</v>
      </c>
      <c r="K468" t="str">
        <f ca="1">IFERROR(_xludf.XLOOKUP(C468,'Agent Master'!$A:$A,'Agent Master'!$C:$C,"Missing"),"Missing")</f>
        <v>Missing</v>
      </c>
      <c r="L468" t="str">
        <f t="shared" si="30"/>
        <v>September</v>
      </c>
      <c r="M468" t="str">
        <f>_xlfn.XLOOKUP('Transaction Data'!D468,ProductMap[Product Code],ProductMap[Product Name])</f>
        <v>MATM</v>
      </c>
      <c r="N468" t="str">
        <f t="shared" si="31"/>
        <v>2026-09</v>
      </c>
      <c r="O468" t="str" cm="1">
        <f t="array" ref="O468">IFERROR(_xlfn.XLOOKUP(C468,AgentMaster[[#All],[Agent ID]],AgentMaster[[#All],[Agent Name]]),"")</f>
        <v>Agent 107</v>
      </c>
      <c r="P468">
        <f t="shared" si="32"/>
        <v>16</v>
      </c>
    </row>
    <row r="469" spans="1:16" x14ac:dyDescent="0.3">
      <c r="A469" t="s">
        <v>591</v>
      </c>
      <c r="B469" s="5">
        <v>46268</v>
      </c>
      <c r="C469" t="s">
        <v>178</v>
      </c>
      <c r="D469" t="s">
        <v>95</v>
      </c>
      <c r="E469">
        <v>750</v>
      </c>
      <c r="F469" t="s">
        <v>72</v>
      </c>
      <c r="G469" t="s">
        <v>73</v>
      </c>
      <c r="H469" t="s">
        <v>78</v>
      </c>
      <c r="I469" t="str">
        <f t="shared" si="29"/>
        <v>2026-09</v>
      </c>
      <c r="J469" t="str">
        <f ca="1">IFERROR(_xludf.XLOOKUP(C469,'Agent Master'!$A:$A,'Agent Master'!$B:$B,"Missing"),"Missing")</f>
        <v>Missing</v>
      </c>
      <c r="K469" t="str">
        <f ca="1">IFERROR(_xludf.XLOOKUP(C469,'Agent Master'!$A:$A,'Agent Master'!$C:$C,"Missing"),"Missing")</f>
        <v>Missing</v>
      </c>
      <c r="L469" t="str">
        <f t="shared" si="30"/>
        <v>September</v>
      </c>
      <c r="M469" t="str">
        <f>_xlfn.XLOOKUP('Transaction Data'!D469,ProductMap[Product Code],ProductMap[Product Name])</f>
        <v>BBPS</v>
      </c>
      <c r="N469" t="str">
        <f t="shared" si="31"/>
        <v>2026-09</v>
      </c>
      <c r="O469" t="str" cm="1">
        <f t="array" ref="O469">IFERROR(_xlfn.XLOOKUP(C469,AgentMaster[[#All],[Agent ID]],AgentMaster[[#All],[Agent Name]]),"")</f>
        <v>Agent 112</v>
      </c>
      <c r="P469">
        <f t="shared" si="32"/>
        <v>7</v>
      </c>
    </row>
    <row r="470" spans="1:16" x14ac:dyDescent="0.3">
      <c r="A470" t="s">
        <v>592</v>
      </c>
      <c r="B470" s="5">
        <v>46264</v>
      </c>
      <c r="C470" t="s">
        <v>100</v>
      </c>
      <c r="D470" t="s">
        <v>110</v>
      </c>
      <c r="E470">
        <v>12500</v>
      </c>
      <c r="F470" t="s">
        <v>72</v>
      </c>
      <c r="G470" t="s">
        <v>73</v>
      </c>
      <c r="H470" t="s">
        <v>78</v>
      </c>
      <c r="I470" t="str">
        <f t="shared" si="29"/>
        <v>2026-08</v>
      </c>
      <c r="J470" t="str">
        <f ca="1">IFERROR(_xludf.XLOOKUP(C470,'Agent Master'!$A:$A,'Agent Master'!$B:$B,"Missing"),"Missing")</f>
        <v>Missing</v>
      </c>
      <c r="K470" t="str">
        <f ca="1">IFERROR(_xludf.XLOOKUP(C470,'Agent Master'!$A:$A,'Agent Master'!$C:$C,"Missing"),"Missing")</f>
        <v>Missing</v>
      </c>
      <c r="L470" t="str">
        <f t="shared" si="30"/>
        <v>August</v>
      </c>
      <c r="M470" t="str">
        <f>_xlfn.XLOOKUP('Transaction Data'!D470,ProductMap[Product Code],ProductMap[Product Name])</f>
        <v>DMT</v>
      </c>
      <c r="N470" t="str">
        <f t="shared" si="31"/>
        <v>2026-08</v>
      </c>
      <c r="O470" t="str" cm="1">
        <f t="array" ref="O470">IFERROR(_xlfn.XLOOKUP(C470,AgentMaster[[#All],[Agent ID]],AgentMaster[[#All],[Agent Name]]),"")</f>
        <v>Agent 115</v>
      </c>
      <c r="P470">
        <f t="shared" si="32"/>
        <v>11</v>
      </c>
    </row>
    <row r="471" spans="1:16" x14ac:dyDescent="0.3">
      <c r="A471" t="s">
        <v>593</v>
      </c>
      <c r="B471" s="5">
        <v>46260</v>
      </c>
      <c r="C471" t="s">
        <v>80</v>
      </c>
      <c r="D471" t="s">
        <v>77</v>
      </c>
      <c r="E471">
        <v>10000</v>
      </c>
      <c r="F471" t="s">
        <v>72</v>
      </c>
      <c r="G471" t="s">
        <v>84</v>
      </c>
      <c r="H471" t="s">
        <v>78</v>
      </c>
      <c r="I471" t="str">
        <f t="shared" si="29"/>
        <v>2026-08</v>
      </c>
      <c r="J471" t="str">
        <f ca="1">IFERROR(_xludf.XLOOKUP(C471,'Agent Master'!$A:$A,'Agent Master'!$B:$B,"Missing"),"Missing")</f>
        <v>Missing</v>
      </c>
      <c r="K471" t="str">
        <f ca="1">IFERROR(_xludf.XLOOKUP(C471,'Agent Master'!$A:$A,'Agent Master'!$C:$C,"Missing"),"Missing")</f>
        <v>Missing</v>
      </c>
      <c r="L471" t="str">
        <f t="shared" si="30"/>
        <v>August</v>
      </c>
      <c r="M471" t="str">
        <f>_xlfn.XLOOKUP('Transaction Data'!D471,ProductMap[Product Code],ProductMap[Product Name])</f>
        <v>MATM</v>
      </c>
      <c r="N471" t="str">
        <f t="shared" si="31"/>
        <v>2026-08</v>
      </c>
      <c r="O471" t="str" cm="1">
        <f t="array" ref="O471">IFERROR(_xlfn.XLOOKUP(C471,AgentMaster[[#All],[Agent ID]],AgentMaster[[#All],[Agent Name]]),"")</f>
        <v>Agent 102</v>
      </c>
      <c r="P471">
        <f t="shared" si="32"/>
        <v>13</v>
      </c>
    </row>
    <row r="472" spans="1:16" x14ac:dyDescent="0.3">
      <c r="A472" t="s">
        <v>594</v>
      </c>
      <c r="B472" s="5">
        <v>46259</v>
      </c>
      <c r="C472" t="s">
        <v>117</v>
      </c>
      <c r="D472" t="s">
        <v>77</v>
      </c>
      <c r="E472">
        <v>1000</v>
      </c>
      <c r="F472" t="s">
        <v>72</v>
      </c>
      <c r="G472" t="s">
        <v>84</v>
      </c>
      <c r="H472" t="s">
        <v>81</v>
      </c>
      <c r="I472" t="str">
        <f t="shared" si="29"/>
        <v>2026-08</v>
      </c>
      <c r="J472" t="str">
        <f ca="1">IFERROR(_xludf.XLOOKUP(C472,'Agent Master'!$A:$A,'Agent Master'!$B:$B,"Missing"),"Missing")</f>
        <v>Missing</v>
      </c>
      <c r="K472" t="str">
        <f ca="1">IFERROR(_xludf.XLOOKUP(C472,'Agent Master'!$A:$A,'Agent Master'!$C:$C,"Missing"),"Missing")</f>
        <v>Missing</v>
      </c>
      <c r="L472" t="str">
        <f t="shared" si="30"/>
        <v>August</v>
      </c>
      <c r="M472" t="str">
        <f>_xlfn.XLOOKUP('Transaction Data'!D472,ProductMap[Product Code],ProductMap[Product Name])</f>
        <v>MATM</v>
      </c>
      <c r="N472" t="str">
        <f t="shared" si="31"/>
        <v>2026-08</v>
      </c>
      <c r="O472" t="str" cm="1">
        <f t="array" ref="O472">IFERROR(_xlfn.XLOOKUP(C472,AgentMaster[[#All],[Agent ID]],AgentMaster[[#All],[Agent Name]]),"")</f>
        <v>Agent 101</v>
      </c>
      <c r="P472">
        <f t="shared" si="32"/>
        <v>6</v>
      </c>
    </row>
    <row r="473" spans="1:16" x14ac:dyDescent="0.3">
      <c r="A473" t="s">
        <v>595</v>
      </c>
      <c r="B473" s="5">
        <v>46271</v>
      </c>
      <c r="C473" t="s">
        <v>76</v>
      </c>
      <c r="D473" t="s">
        <v>95</v>
      </c>
      <c r="E473">
        <v>750</v>
      </c>
      <c r="F473" t="s">
        <v>72</v>
      </c>
      <c r="G473" t="s">
        <v>84</v>
      </c>
      <c r="H473" t="s">
        <v>74</v>
      </c>
      <c r="I473" t="str">
        <f t="shared" si="29"/>
        <v>2026-09</v>
      </c>
      <c r="J473" t="str">
        <f ca="1">IFERROR(_xludf.XLOOKUP(C473,'Agent Master'!$A:$A,'Agent Master'!$B:$B,"Missing"),"Missing")</f>
        <v>Missing</v>
      </c>
      <c r="K473" t="str">
        <f ca="1">IFERROR(_xludf.XLOOKUP(C473,'Agent Master'!$A:$A,'Agent Master'!$C:$C,"Missing"),"Missing")</f>
        <v>Missing</v>
      </c>
      <c r="L473" t="str">
        <f t="shared" si="30"/>
        <v>September</v>
      </c>
      <c r="M473" t="str">
        <f>_xlfn.XLOOKUP('Transaction Data'!D473,ProductMap[Product Code],ProductMap[Product Name])</f>
        <v>BBPS</v>
      </c>
      <c r="N473" t="str">
        <f t="shared" si="31"/>
        <v>2026-09</v>
      </c>
      <c r="O473" t="str" cm="1">
        <f t="array" ref="O473">IFERROR(_xlfn.XLOOKUP(C473,AgentMaster[[#All],[Agent ID]],AgentMaster[[#All],[Agent Name]]),"")</f>
        <v>Agent 107</v>
      </c>
      <c r="P473">
        <f t="shared" si="32"/>
        <v>16</v>
      </c>
    </row>
    <row r="474" spans="1:16" x14ac:dyDescent="0.3">
      <c r="A474" t="s">
        <v>596</v>
      </c>
      <c r="B474" s="5">
        <v>46264</v>
      </c>
      <c r="C474" t="s">
        <v>70</v>
      </c>
      <c r="D474" t="s">
        <v>87</v>
      </c>
      <c r="E474">
        <v>12500</v>
      </c>
      <c r="F474" t="s">
        <v>72</v>
      </c>
      <c r="G474" t="s">
        <v>73</v>
      </c>
      <c r="H474" t="s">
        <v>96</v>
      </c>
      <c r="I474" t="str">
        <f t="shared" si="29"/>
        <v>2026-08</v>
      </c>
      <c r="J474" t="str">
        <f ca="1">IFERROR(_xludf.XLOOKUP(C474,'Agent Master'!$A:$A,'Agent Master'!$B:$B,"Missing"),"Missing")</f>
        <v>Missing</v>
      </c>
      <c r="K474" t="str">
        <f ca="1">IFERROR(_xludf.XLOOKUP(C474,'Agent Master'!$A:$A,'Agent Master'!$C:$C,"Missing"),"Missing")</f>
        <v>Missing</v>
      </c>
      <c r="L474" t="str">
        <f t="shared" si="30"/>
        <v>August</v>
      </c>
      <c r="M474" t="str">
        <f>_xlfn.XLOOKUP('Transaction Data'!D474,ProductMap[Product Code],ProductMap[Product Name])</f>
        <v>APAY</v>
      </c>
      <c r="N474" t="str">
        <f t="shared" si="31"/>
        <v>2026-08</v>
      </c>
      <c r="O474" t="str" cm="1">
        <f t="array" ref="O474">IFERROR(_xlfn.XLOOKUP(C474,AgentMaster[[#All],[Agent ID]],AgentMaster[[#All],[Agent Name]]),"")</f>
        <v>Agent 108</v>
      </c>
      <c r="P474">
        <f t="shared" si="32"/>
        <v>12</v>
      </c>
    </row>
    <row r="475" spans="1:16" x14ac:dyDescent="0.3">
      <c r="A475" t="s">
        <v>597</v>
      </c>
      <c r="B475" s="5">
        <v>46273</v>
      </c>
      <c r="C475" t="s">
        <v>147</v>
      </c>
      <c r="D475" t="s">
        <v>95</v>
      </c>
      <c r="E475">
        <v>2500</v>
      </c>
      <c r="F475" t="s">
        <v>92</v>
      </c>
      <c r="G475" t="s">
        <v>73</v>
      </c>
      <c r="H475" t="s">
        <v>96</v>
      </c>
      <c r="I475" t="str">
        <f t="shared" si="29"/>
        <v>2026-09</v>
      </c>
      <c r="J475" t="str">
        <f ca="1">IFERROR(_xludf.XLOOKUP(C475,'Agent Master'!$A:$A,'Agent Master'!$B:$B,"Missing"),"Missing")</f>
        <v>Missing</v>
      </c>
      <c r="K475" t="str">
        <f ca="1">IFERROR(_xludf.XLOOKUP(C475,'Agent Master'!$A:$A,'Agent Master'!$C:$C,"Missing"),"Missing")</f>
        <v>Missing</v>
      </c>
      <c r="L475" t="str">
        <f t="shared" si="30"/>
        <v>September</v>
      </c>
      <c r="M475" t="str">
        <f>_xlfn.XLOOKUP('Transaction Data'!D475,ProductMap[Product Code],ProductMap[Product Name])</f>
        <v>BBPS</v>
      </c>
      <c r="N475" t="str">
        <f t="shared" si="31"/>
        <v>2026-09</v>
      </c>
      <c r="O475" t="str" cm="1">
        <f t="array" ref="O475">IFERROR(_xlfn.XLOOKUP(C475,AgentMaster[[#All],[Agent ID]],AgentMaster[[#All],[Agent Name]]),"")</f>
        <v>Agent 125</v>
      </c>
      <c r="P475">
        <f t="shared" si="32"/>
        <v>7</v>
      </c>
    </row>
    <row r="476" spans="1:16" x14ac:dyDescent="0.3">
      <c r="A476" t="s">
        <v>598</v>
      </c>
      <c r="B476" s="5">
        <v>46257</v>
      </c>
      <c r="C476" t="s">
        <v>94</v>
      </c>
      <c r="D476" t="s">
        <v>95</v>
      </c>
      <c r="E476">
        <v>750</v>
      </c>
      <c r="F476" t="s">
        <v>72</v>
      </c>
      <c r="G476" t="s">
        <v>73</v>
      </c>
      <c r="H476" t="s">
        <v>81</v>
      </c>
      <c r="I476" t="str">
        <f t="shared" si="29"/>
        <v>2026-08</v>
      </c>
      <c r="J476" t="str">
        <f ca="1">IFERROR(_xludf.XLOOKUP(C476,'Agent Master'!$A:$A,'Agent Master'!$B:$B,"Missing"),"Missing")</f>
        <v>Missing</v>
      </c>
      <c r="K476" t="str">
        <f ca="1">IFERROR(_xludf.XLOOKUP(C476,'Agent Master'!$A:$A,'Agent Master'!$C:$C,"Missing"),"Missing")</f>
        <v>Missing</v>
      </c>
      <c r="L476" t="str">
        <f t="shared" si="30"/>
        <v>August</v>
      </c>
      <c r="M476" t="str">
        <f>_xlfn.XLOOKUP('Transaction Data'!D476,ProductMap[Product Code],ProductMap[Product Name])</f>
        <v>BBPS</v>
      </c>
      <c r="N476" t="str">
        <f t="shared" si="31"/>
        <v>2026-08</v>
      </c>
      <c r="O476" t="str" cm="1">
        <f t="array" ref="O476">IFERROR(_xlfn.XLOOKUP(C476,AgentMaster[[#All],[Agent ID]],AgentMaster[[#All],[Agent Name]]),"")</f>
        <v>Agent 130</v>
      </c>
      <c r="P476">
        <f t="shared" si="32"/>
        <v>16</v>
      </c>
    </row>
    <row r="477" spans="1:16" x14ac:dyDescent="0.3">
      <c r="A477" t="s">
        <v>599</v>
      </c>
      <c r="B477" s="5">
        <v>46278</v>
      </c>
      <c r="C477" t="s">
        <v>161</v>
      </c>
      <c r="D477" t="s">
        <v>87</v>
      </c>
      <c r="E477">
        <v>500</v>
      </c>
      <c r="F477" t="s">
        <v>72</v>
      </c>
      <c r="G477" t="s">
        <v>84</v>
      </c>
      <c r="H477" t="s">
        <v>81</v>
      </c>
      <c r="I477" t="str">
        <f t="shared" si="29"/>
        <v>2026-09</v>
      </c>
      <c r="J477" t="str">
        <f ca="1">IFERROR(_xludf.XLOOKUP(C477,'Agent Master'!$A:$A,'Agent Master'!$B:$B,"Missing"),"Missing")</f>
        <v>Missing</v>
      </c>
      <c r="K477" t="str">
        <f ca="1">IFERROR(_xludf.XLOOKUP(C477,'Agent Master'!$A:$A,'Agent Master'!$C:$C,"Missing"),"Missing")</f>
        <v>Missing</v>
      </c>
      <c r="L477" t="str">
        <f t="shared" si="30"/>
        <v>September</v>
      </c>
      <c r="M477" t="str">
        <f>_xlfn.XLOOKUP('Transaction Data'!D477,ProductMap[Product Code],ProductMap[Product Name])</f>
        <v>APAY</v>
      </c>
      <c r="N477" t="str">
        <f t="shared" si="31"/>
        <v>2026-09</v>
      </c>
      <c r="O477" t="str" cm="1">
        <f t="array" ref="O477">IFERROR(_xlfn.XLOOKUP(C477,AgentMaster[[#All],[Agent ID]],AgentMaster[[#All],[Agent Name]]),"")</f>
        <v>Agent 109</v>
      </c>
      <c r="P477">
        <f t="shared" si="32"/>
        <v>16</v>
      </c>
    </row>
    <row r="478" spans="1:16" x14ac:dyDescent="0.3">
      <c r="A478" t="s">
        <v>600</v>
      </c>
      <c r="B478" s="5">
        <v>46246</v>
      </c>
      <c r="C478" t="s">
        <v>122</v>
      </c>
      <c r="D478" t="s">
        <v>77</v>
      </c>
      <c r="E478">
        <v>750</v>
      </c>
      <c r="F478" t="s">
        <v>72</v>
      </c>
      <c r="G478" t="s">
        <v>84</v>
      </c>
      <c r="H478" t="s">
        <v>78</v>
      </c>
      <c r="I478" t="str">
        <f t="shared" si="29"/>
        <v>2026-08</v>
      </c>
      <c r="J478" t="str">
        <f ca="1">IFERROR(_xludf.XLOOKUP(C478,'Agent Master'!$A:$A,'Agent Master'!$B:$B,"Missing"),"Missing")</f>
        <v>Missing</v>
      </c>
      <c r="K478" t="str">
        <f ca="1">IFERROR(_xludf.XLOOKUP(C478,'Agent Master'!$A:$A,'Agent Master'!$C:$C,"Missing"),"Missing")</f>
        <v>Missing</v>
      </c>
      <c r="L478" t="str">
        <f t="shared" si="30"/>
        <v>August</v>
      </c>
      <c r="M478" t="str">
        <f>_xlfn.XLOOKUP('Transaction Data'!D478,ProductMap[Product Code],ProductMap[Product Name])</f>
        <v>MATM</v>
      </c>
      <c r="N478" t="str">
        <f t="shared" si="31"/>
        <v>2026-08</v>
      </c>
      <c r="O478" t="str" cm="1">
        <f t="array" ref="O478">IFERROR(_xlfn.XLOOKUP(C478,AgentMaster[[#All],[Agent ID]],AgentMaster[[#All],[Agent Name]]),"")</f>
        <v>Agent 124</v>
      </c>
      <c r="P478">
        <f t="shared" si="32"/>
        <v>11</v>
      </c>
    </row>
    <row r="479" spans="1:16" x14ac:dyDescent="0.3">
      <c r="A479" t="s">
        <v>601</v>
      </c>
      <c r="B479" s="5">
        <v>46273</v>
      </c>
      <c r="C479" t="s">
        <v>161</v>
      </c>
      <c r="D479" t="s">
        <v>95</v>
      </c>
      <c r="E479">
        <v>2500</v>
      </c>
      <c r="F479" t="s">
        <v>72</v>
      </c>
      <c r="G479" t="s">
        <v>73</v>
      </c>
      <c r="H479" t="s">
        <v>78</v>
      </c>
      <c r="I479" t="str">
        <f t="shared" si="29"/>
        <v>2026-09</v>
      </c>
      <c r="J479" t="str">
        <f ca="1">IFERROR(_xludf.XLOOKUP(C479,'Agent Master'!$A:$A,'Agent Master'!$B:$B,"Missing"),"Missing")</f>
        <v>Missing</v>
      </c>
      <c r="K479" t="str">
        <f ca="1">IFERROR(_xludf.XLOOKUP(C479,'Agent Master'!$A:$A,'Agent Master'!$C:$C,"Missing"),"Missing")</f>
        <v>Missing</v>
      </c>
      <c r="L479" t="str">
        <f t="shared" si="30"/>
        <v>September</v>
      </c>
      <c r="M479" t="str">
        <f>_xlfn.XLOOKUP('Transaction Data'!D479,ProductMap[Product Code],ProductMap[Product Name])</f>
        <v>BBPS</v>
      </c>
      <c r="N479" t="str">
        <f t="shared" si="31"/>
        <v>2026-09</v>
      </c>
      <c r="O479" t="str" cm="1">
        <f t="array" ref="O479">IFERROR(_xlfn.XLOOKUP(C479,AgentMaster[[#All],[Agent ID]],AgentMaster[[#All],[Agent Name]]),"")</f>
        <v>Agent 109</v>
      </c>
      <c r="P479">
        <f t="shared" si="32"/>
        <v>16</v>
      </c>
    </row>
    <row r="480" spans="1:16" x14ac:dyDescent="0.3">
      <c r="A480" t="s">
        <v>602</v>
      </c>
      <c r="B480" s="5">
        <v>46275</v>
      </c>
      <c r="C480" t="s">
        <v>129</v>
      </c>
      <c r="D480" t="s">
        <v>77</v>
      </c>
      <c r="E480">
        <v>12500</v>
      </c>
      <c r="F480" t="s">
        <v>72</v>
      </c>
      <c r="G480" t="s">
        <v>73</v>
      </c>
      <c r="H480" t="s">
        <v>74</v>
      </c>
      <c r="I480" t="str">
        <f t="shared" si="29"/>
        <v>2026-09</v>
      </c>
      <c r="J480" t="str">
        <f ca="1">IFERROR(_xludf.XLOOKUP(C480,'Agent Master'!$A:$A,'Agent Master'!$B:$B,"Missing"),"Missing")</f>
        <v>Missing</v>
      </c>
      <c r="K480" t="str">
        <f ca="1">IFERROR(_xludf.XLOOKUP(C480,'Agent Master'!$A:$A,'Agent Master'!$C:$C,"Missing"),"Missing")</f>
        <v>Missing</v>
      </c>
      <c r="L480" t="str">
        <f t="shared" si="30"/>
        <v>September</v>
      </c>
      <c r="M480" t="str">
        <f>_xlfn.XLOOKUP('Transaction Data'!D480,ProductMap[Product Code],ProductMap[Product Name])</f>
        <v>MATM</v>
      </c>
      <c r="N480" t="str">
        <f t="shared" si="31"/>
        <v>2026-09</v>
      </c>
      <c r="O480" t="str" cm="1">
        <f t="array" ref="O480">IFERROR(_xlfn.XLOOKUP(C480,AgentMaster[[#All],[Agent ID]],AgentMaster[[#All],[Agent Name]]),"")</f>
        <v>Agent 135</v>
      </c>
      <c r="P480">
        <f t="shared" si="32"/>
        <v>19</v>
      </c>
    </row>
    <row r="481" spans="1:16" x14ac:dyDescent="0.3">
      <c r="A481" t="s">
        <v>603</v>
      </c>
      <c r="B481" s="5">
        <v>46266</v>
      </c>
      <c r="C481" t="s">
        <v>242</v>
      </c>
      <c r="D481" t="s">
        <v>90</v>
      </c>
      <c r="E481">
        <v>750</v>
      </c>
      <c r="F481" t="s">
        <v>72</v>
      </c>
      <c r="G481" t="s">
        <v>84</v>
      </c>
      <c r="H481" t="s">
        <v>81</v>
      </c>
      <c r="I481" t="str">
        <f t="shared" si="29"/>
        <v>2026-09</v>
      </c>
      <c r="J481" t="str">
        <f ca="1">IFERROR(_xludf.XLOOKUP(C481,'Agent Master'!$A:$A,'Agent Master'!$B:$B,"Missing"),"Missing")</f>
        <v>Missing</v>
      </c>
      <c r="K481" t="str">
        <f ca="1">IFERROR(_xludf.XLOOKUP(C481,'Agent Master'!$A:$A,'Agent Master'!$C:$C,"Missing"),"Missing")</f>
        <v>Missing</v>
      </c>
      <c r="L481" t="str">
        <f t="shared" si="30"/>
        <v>September</v>
      </c>
      <c r="M481" t="str">
        <f>_xlfn.XLOOKUP('Transaction Data'!D481,ProductMap[Product Code],ProductMap[Product Name])</f>
        <v>UPI</v>
      </c>
      <c r="N481" t="str">
        <f t="shared" si="31"/>
        <v>2026-09</v>
      </c>
      <c r="O481" t="str" cm="1">
        <f t="array" ref="O481">IFERROR(_xlfn.XLOOKUP(C481,AgentMaster[[#All],[Agent ID]],AgentMaster[[#All],[Agent Name]]),"")</f>
        <v>Agent 119</v>
      </c>
      <c r="P481">
        <f t="shared" si="32"/>
        <v>13</v>
      </c>
    </row>
    <row r="482" spans="1:16" x14ac:dyDescent="0.3">
      <c r="A482" t="s">
        <v>604</v>
      </c>
      <c r="B482" s="5">
        <v>46290</v>
      </c>
      <c r="C482" t="s">
        <v>216</v>
      </c>
      <c r="D482" t="s">
        <v>71</v>
      </c>
      <c r="E482">
        <v>5000</v>
      </c>
      <c r="F482" t="s">
        <v>72</v>
      </c>
      <c r="G482" t="s">
        <v>73</v>
      </c>
      <c r="H482" t="s">
        <v>78</v>
      </c>
      <c r="I482" t="str">
        <f t="shared" si="29"/>
        <v>2026-09</v>
      </c>
      <c r="J482" t="str">
        <f ca="1">IFERROR(_xludf.XLOOKUP(C482,'Agent Master'!$A:$A,'Agent Master'!$B:$B,"Missing"),"Missing")</f>
        <v>Missing</v>
      </c>
      <c r="K482" t="str">
        <f ca="1">IFERROR(_xludf.XLOOKUP(C482,'Agent Master'!$A:$A,'Agent Master'!$C:$C,"Missing"),"Missing")</f>
        <v>Missing</v>
      </c>
      <c r="L482" t="str">
        <f t="shared" si="30"/>
        <v>September</v>
      </c>
      <c r="M482" t="str">
        <f>_xlfn.XLOOKUP('Transaction Data'!D482,ProductMap[Product Code],ProductMap[Product Name])</f>
        <v>AEPS</v>
      </c>
      <c r="N482" t="str">
        <f t="shared" si="31"/>
        <v>2026-09</v>
      </c>
      <c r="O482" t="str" cm="1">
        <f t="array" ref="O482">IFERROR(_xlfn.XLOOKUP(C482,AgentMaster[[#All],[Agent ID]],AgentMaster[[#All],[Agent Name]]),"")</f>
        <v>Agent 123</v>
      </c>
      <c r="P482">
        <f t="shared" si="32"/>
        <v>6</v>
      </c>
    </row>
    <row r="483" spans="1:16" x14ac:dyDescent="0.3">
      <c r="A483" t="s">
        <v>605</v>
      </c>
      <c r="B483" s="5">
        <v>46270</v>
      </c>
      <c r="C483" t="s">
        <v>154</v>
      </c>
      <c r="D483" t="s">
        <v>77</v>
      </c>
      <c r="E483">
        <v>5000</v>
      </c>
      <c r="F483" t="s">
        <v>72</v>
      </c>
      <c r="G483" t="s">
        <v>73</v>
      </c>
      <c r="H483" t="s">
        <v>78</v>
      </c>
      <c r="I483" t="str">
        <f t="shared" si="29"/>
        <v>2026-09</v>
      </c>
      <c r="J483" t="str">
        <f ca="1">IFERROR(_xludf.XLOOKUP(C483,'Agent Master'!$A:$A,'Agent Master'!$B:$B,"Missing"),"Missing")</f>
        <v>Missing</v>
      </c>
      <c r="K483" t="str">
        <f ca="1">IFERROR(_xludf.XLOOKUP(C483,'Agent Master'!$A:$A,'Agent Master'!$C:$C,"Missing"),"Missing")</f>
        <v>Missing</v>
      </c>
      <c r="L483" t="str">
        <f t="shared" si="30"/>
        <v>September</v>
      </c>
      <c r="M483" t="str">
        <f>_xlfn.XLOOKUP('Transaction Data'!D483,ProductMap[Product Code],ProductMap[Product Name])</f>
        <v>MATM</v>
      </c>
      <c r="N483" t="str">
        <f t="shared" si="31"/>
        <v>2026-09</v>
      </c>
      <c r="O483" t="str" cm="1">
        <f t="array" ref="O483">IFERROR(_xlfn.XLOOKUP(C483,AgentMaster[[#All],[Agent ID]],AgentMaster[[#All],[Agent Name]]),"")</f>
        <v>Agent 133</v>
      </c>
      <c r="P483">
        <f t="shared" si="32"/>
        <v>9</v>
      </c>
    </row>
    <row r="484" spans="1:16" x14ac:dyDescent="0.3">
      <c r="A484" t="s">
        <v>606</v>
      </c>
      <c r="B484" s="5">
        <v>46261</v>
      </c>
      <c r="C484" t="s">
        <v>172</v>
      </c>
      <c r="D484" t="s">
        <v>110</v>
      </c>
      <c r="E484">
        <v>750</v>
      </c>
      <c r="F484" t="s">
        <v>72</v>
      </c>
      <c r="G484" t="s">
        <v>73</v>
      </c>
      <c r="H484" t="s">
        <v>81</v>
      </c>
      <c r="I484" t="str">
        <f t="shared" si="29"/>
        <v>2026-08</v>
      </c>
      <c r="J484" t="str">
        <f ca="1">IFERROR(_xludf.XLOOKUP(C484,'Agent Master'!$A:$A,'Agent Master'!$B:$B,"Missing"),"Missing")</f>
        <v>Missing</v>
      </c>
      <c r="K484" t="str">
        <f ca="1">IFERROR(_xludf.XLOOKUP(C484,'Agent Master'!$A:$A,'Agent Master'!$C:$C,"Missing"),"Missing")</f>
        <v>Missing</v>
      </c>
      <c r="L484" t="str">
        <f t="shared" si="30"/>
        <v>August</v>
      </c>
      <c r="M484" t="str">
        <f>_xlfn.XLOOKUP('Transaction Data'!D484,ProductMap[Product Code],ProductMap[Product Name])</f>
        <v>DMT</v>
      </c>
      <c r="N484" t="str">
        <f t="shared" si="31"/>
        <v>2026-08</v>
      </c>
      <c r="O484" t="str" cm="1">
        <f t="array" ref="O484">IFERROR(_xlfn.XLOOKUP(C484,AgentMaster[[#All],[Agent ID]],AgentMaster[[#All],[Agent Name]]),"")</f>
        <v>Agent 129</v>
      </c>
      <c r="P484">
        <f t="shared" si="32"/>
        <v>18</v>
      </c>
    </row>
    <row r="485" spans="1:16" x14ac:dyDescent="0.3">
      <c r="A485" t="s">
        <v>607</v>
      </c>
      <c r="B485" s="5">
        <v>46285</v>
      </c>
      <c r="C485" t="s">
        <v>100</v>
      </c>
      <c r="D485" t="s">
        <v>87</v>
      </c>
      <c r="E485">
        <v>250</v>
      </c>
      <c r="F485" t="s">
        <v>72</v>
      </c>
      <c r="G485" t="s">
        <v>73</v>
      </c>
      <c r="H485" t="s">
        <v>96</v>
      </c>
      <c r="I485" t="str">
        <f t="shared" si="29"/>
        <v>2026-09</v>
      </c>
      <c r="J485" t="str">
        <f ca="1">IFERROR(_xludf.XLOOKUP(C485,'Agent Master'!$A:$A,'Agent Master'!$B:$B,"Missing"),"Missing")</f>
        <v>Missing</v>
      </c>
      <c r="K485" t="str">
        <f ca="1">IFERROR(_xludf.XLOOKUP(C485,'Agent Master'!$A:$A,'Agent Master'!$C:$C,"Missing"),"Missing")</f>
        <v>Missing</v>
      </c>
      <c r="L485" t="str">
        <f t="shared" si="30"/>
        <v>September</v>
      </c>
      <c r="M485" t="str">
        <f>_xlfn.XLOOKUP('Transaction Data'!D485,ProductMap[Product Code],ProductMap[Product Name])</f>
        <v>APAY</v>
      </c>
      <c r="N485" t="str">
        <f t="shared" si="31"/>
        <v>2026-09</v>
      </c>
      <c r="O485" t="str" cm="1">
        <f t="array" ref="O485">IFERROR(_xlfn.XLOOKUP(C485,AgentMaster[[#All],[Agent ID]],AgentMaster[[#All],[Agent Name]]),"")</f>
        <v>Agent 115</v>
      </c>
      <c r="P485">
        <f t="shared" si="32"/>
        <v>11</v>
      </c>
    </row>
    <row r="486" spans="1:16" x14ac:dyDescent="0.3">
      <c r="A486" t="s">
        <v>608</v>
      </c>
      <c r="B486" s="5">
        <v>46245</v>
      </c>
      <c r="C486" t="s">
        <v>94</v>
      </c>
      <c r="D486" t="s">
        <v>95</v>
      </c>
      <c r="E486">
        <v>15000</v>
      </c>
      <c r="F486" t="s">
        <v>72</v>
      </c>
      <c r="G486" t="s">
        <v>73</v>
      </c>
      <c r="H486" t="s">
        <v>81</v>
      </c>
      <c r="I486" t="str">
        <f t="shared" si="29"/>
        <v>2026-08</v>
      </c>
      <c r="J486" t="str">
        <f ca="1">IFERROR(_xludf.XLOOKUP(C486,'Agent Master'!$A:$A,'Agent Master'!$B:$B,"Missing"),"Missing")</f>
        <v>Missing</v>
      </c>
      <c r="K486" t="str">
        <f ca="1">IFERROR(_xludf.XLOOKUP(C486,'Agent Master'!$A:$A,'Agent Master'!$C:$C,"Missing"),"Missing")</f>
        <v>Missing</v>
      </c>
      <c r="L486" t="str">
        <f t="shared" si="30"/>
        <v>August</v>
      </c>
      <c r="M486" t="str">
        <f>_xlfn.XLOOKUP('Transaction Data'!D486,ProductMap[Product Code],ProductMap[Product Name])</f>
        <v>BBPS</v>
      </c>
      <c r="N486" t="str">
        <f t="shared" si="31"/>
        <v>2026-08</v>
      </c>
      <c r="O486" t="str" cm="1">
        <f t="array" ref="O486">IFERROR(_xlfn.XLOOKUP(C486,AgentMaster[[#All],[Agent ID]],AgentMaster[[#All],[Agent Name]]),"")</f>
        <v>Agent 130</v>
      </c>
      <c r="P486">
        <f t="shared" si="32"/>
        <v>16</v>
      </c>
    </row>
    <row r="487" spans="1:16" x14ac:dyDescent="0.3">
      <c r="A487" t="s">
        <v>609</v>
      </c>
      <c r="B487" s="5">
        <v>46271</v>
      </c>
      <c r="C487" t="s">
        <v>70</v>
      </c>
      <c r="D487" t="s">
        <v>87</v>
      </c>
      <c r="E487">
        <v>20000</v>
      </c>
      <c r="F487" t="s">
        <v>72</v>
      </c>
      <c r="G487" t="s">
        <v>84</v>
      </c>
      <c r="H487" t="s">
        <v>81</v>
      </c>
      <c r="I487" t="str">
        <f t="shared" si="29"/>
        <v>2026-09</v>
      </c>
      <c r="J487" t="str">
        <f ca="1">IFERROR(_xludf.XLOOKUP(C487,'Agent Master'!$A:$A,'Agent Master'!$B:$B,"Missing"),"Missing")</f>
        <v>Missing</v>
      </c>
      <c r="K487" t="str">
        <f ca="1">IFERROR(_xludf.XLOOKUP(C487,'Agent Master'!$A:$A,'Agent Master'!$C:$C,"Missing"),"Missing")</f>
        <v>Missing</v>
      </c>
      <c r="L487" t="str">
        <f t="shared" si="30"/>
        <v>September</v>
      </c>
      <c r="M487" t="str">
        <f>_xlfn.XLOOKUP('Transaction Data'!D487,ProductMap[Product Code],ProductMap[Product Name])</f>
        <v>APAY</v>
      </c>
      <c r="N487" t="str">
        <f t="shared" si="31"/>
        <v>2026-09</v>
      </c>
      <c r="O487" t="str" cm="1">
        <f t="array" ref="O487">IFERROR(_xlfn.XLOOKUP(C487,AgentMaster[[#All],[Agent ID]],AgentMaster[[#All],[Agent Name]]),"")</f>
        <v>Agent 108</v>
      </c>
      <c r="P487">
        <f t="shared" si="32"/>
        <v>12</v>
      </c>
    </row>
    <row r="488" spans="1:16" x14ac:dyDescent="0.3">
      <c r="A488" t="s">
        <v>610</v>
      </c>
      <c r="B488" s="5">
        <v>46283</v>
      </c>
      <c r="C488" t="s">
        <v>172</v>
      </c>
      <c r="D488" t="s">
        <v>95</v>
      </c>
      <c r="E488">
        <v>1000</v>
      </c>
      <c r="F488" t="s">
        <v>72</v>
      </c>
      <c r="G488" t="s">
        <v>73</v>
      </c>
      <c r="H488" t="s">
        <v>74</v>
      </c>
      <c r="I488" t="str">
        <f t="shared" si="29"/>
        <v>2026-09</v>
      </c>
      <c r="J488" t="str">
        <f ca="1">IFERROR(_xludf.XLOOKUP(C488,'Agent Master'!$A:$A,'Agent Master'!$B:$B,"Missing"),"Missing")</f>
        <v>Missing</v>
      </c>
      <c r="K488" t="str">
        <f ca="1">IFERROR(_xludf.XLOOKUP(C488,'Agent Master'!$A:$A,'Agent Master'!$C:$C,"Missing"),"Missing")</f>
        <v>Missing</v>
      </c>
      <c r="L488" t="str">
        <f t="shared" si="30"/>
        <v>September</v>
      </c>
      <c r="M488" t="str">
        <f>_xlfn.XLOOKUP('Transaction Data'!D488,ProductMap[Product Code],ProductMap[Product Name])</f>
        <v>BBPS</v>
      </c>
      <c r="N488" t="str">
        <f t="shared" si="31"/>
        <v>2026-09</v>
      </c>
      <c r="O488" t="str" cm="1">
        <f t="array" ref="O488">IFERROR(_xlfn.XLOOKUP(C488,AgentMaster[[#All],[Agent ID]],AgentMaster[[#All],[Agent Name]]),"")</f>
        <v>Agent 129</v>
      </c>
      <c r="P488">
        <f t="shared" si="32"/>
        <v>18</v>
      </c>
    </row>
    <row r="489" spans="1:16" x14ac:dyDescent="0.3">
      <c r="A489" t="s">
        <v>611</v>
      </c>
      <c r="B489" s="5">
        <v>46254</v>
      </c>
      <c r="C489" t="s">
        <v>134</v>
      </c>
      <c r="D489" t="s">
        <v>110</v>
      </c>
      <c r="E489">
        <v>1500</v>
      </c>
      <c r="F489" t="s">
        <v>72</v>
      </c>
      <c r="G489" t="s">
        <v>73</v>
      </c>
      <c r="H489" t="s">
        <v>78</v>
      </c>
      <c r="I489" t="str">
        <f t="shared" si="29"/>
        <v>2026-08</v>
      </c>
      <c r="J489" t="str">
        <f ca="1">IFERROR(_xludf.XLOOKUP(C489,'Agent Master'!$A:$A,'Agent Master'!$B:$B,"Missing"),"Missing")</f>
        <v>Missing</v>
      </c>
      <c r="K489" t="str">
        <f ca="1">IFERROR(_xludf.XLOOKUP(C489,'Agent Master'!$A:$A,'Agent Master'!$C:$C,"Missing"),"Missing")</f>
        <v>Missing</v>
      </c>
      <c r="L489" t="str">
        <f t="shared" si="30"/>
        <v>August</v>
      </c>
      <c r="M489" t="str">
        <f>_xlfn.XLOOKUP('Transaction Data'!D489,ProductMap[Product Code],ProductMap[Product Name])</f>
        <v>DMT</v>
      </c>
      <c r="N489" t="str">
        <f t="shared" si="31"/>
        <v>2026-08</v>
      </c>
      <c r="O489" t="str" cm="1">
        <f t="array" ref="O489">IFERROR(_xlfn.XLOOKUP(C489,AgentMaster[[#All],[Agent ID]],AgentMaster[[#All],[Agent Name]]),"")</f>
        <v>Agent 103</v>
      </c>
      <c r="P489">
        <f t="shared" si="32"/>
        <v>11</v>
      </c>
    </row>
    <row r="490" spans="1:16" x14ac:dyDescent="0.3">
      <c r="A490" t="s">
        <v>612</v>
      </c>
      <c r="B490" s="5">
        <v>46290</v>
      </c>
      <c r="C490" t="s">
        <v>70</v>
      </c>
      <c r="D490" t="s">
        <v>90</v>
      </c>
      <c r="E490">
        <v>1000</v>
      </c>
      <c r="F490" t="s">
        <v>92</v>
      </c>
      <c r="G490" t="s">
        <v>73</v>
      </c>
      <c r="H490" t="s">
        <v>96</v>
      </c>
      <c r="I490" t="str">
        <f t="shared" si="29"/>
        <v>2026-09</v>
      </c>
      <c r="J490" t="str">
        <f ca="1">IFERROR(_xludf.XLOOKUP(C490,'Agent Master'!$A:$A,'Agent Master'!$B:$B,"Missing"),"Missing")</f>
        <v>Missing</v>
      </c>
      <c r="K490" t="str">
        <f ca="1">IFERROR(_xludf.XLOOKUP(C490,'Agent Master'!$A:$A,'Agent Master'!$C:$C,"Missing"),"Missing")</f>
        <v>Missing</v>
      </c>
      <c r="L490" t="str">
        <f t="shared" si="30"/>
        <v>September</v>
      </c>
      <c r="M490" t="str">
        <f>_xlfn.XLOOKUP('Transaction Data'!D490,ProductMap[Product Code],ProductMap[Product Name])</f>
        <v>UPI</v>
      </c>
      <c r="N490" t="str">
        <f t="shared" si="31"/>
        <v>2026-09</v>
      </c>
      <c r="O490" t="str" cm="1">
        <f t="array" ref="O490">IFERROR(_xlfn.XLOOKUP(C490,AgentMaster[[#All],[Agent ID]],AgentMaster[[#All],[Agent Name]]),"")</f>
        <v>Agent 108</v>
      </c>
      <c r="P490">
        <f t="shared" si="32"/>
        <v>12</v>
      </c>
    </row>
    <row r="491" spans="1:16" x14ac:dyDescent="0.3">
      <c r="A491" t="s">
        <v>613</v>
      </c>
      <c r="B491" s="5">
        <v>46290</v>
      </c>
      <c r="C491" t="s">
        <v>236</v>
      </c>
      <c r="D491" t="s">
        <v>77</v>
      </c>
      <c r="E491">
        <v>2500</v>
      </c>
      <c r="F491" t="s">
        <v>72</v>
      </c>
      <c r="G491" t="s">
        <v>73</v>
      </c>
      <c r="H491" t="s">
        <v>74</v>
      </c>
      <c r="I491" t="str">
        <f t="shared" si="29"/>
        <v>2026-09</v>
      </c>
      <c r="J491" t="str">
        <f ca="1">IFERROR(_xludf.XLOOKUP(C491,'Agent Master'!$A:$A,'Agent Master'!$B:$B,"Missing"),"Missing")</f>
        <v>Missing</v>
      </c>
      <c r="K491" t="str">
        <f ca="1">IFERROR(_xludf.XLOOKUP(C491,'Agent Master'!$A:$A,'Agent Master'!$C:$C,"Missing"),"Missing")</f>
        <v>Missing</v>
      </c>
      <c r="L491" t="str">
        <f t="shared" si="30"/>
        <v>September</v>
      </c>
      <c r="M491" t="str">
        <f>_xlfn.XLOOKUP('Transaction Data'!D491,ProductMap[Product Code],ProductMap[Product Name])</f>
        <v>MATM</v>
      </c>
      <c r="N491" t="str">
        <f t="shared" si="31"/>
        <v>2026-09</v>
      </c>
      <c r="O491" t="str" cm="1">
        <f t="array" ref="O491">IFERROR(_xlfn.XLOOKUP(C491,AgentMaster[[#All],[Agent ID]],AgentMaster[[#All],[Agent Name]]),"")</f>
        <v>Agent 140</v>
      </c>
      <c r="P491">
        <f t="shared" si="32"/>
        <v>5</v>
      </c>
    </row>
    <row r="492" spans="1:16" x14ac:dyDescent="0.3">
      <c r="A492" t="s">
        <v>614</v>
      </c>
      <c r="B492" s="5">
        <v>46285</v>
      </c>
      <c r="C492" t="s">
        <v>150</v>
      </c>
      <c r="D492" t="s">
        <v>90</v>
      </c>
      <c r="E492">
        <v>20000</v>
      </c>
      <c r="F492" t="s">
        <v>72</v>
      </c>
      <c r="G492" t="s">
        <v>73</v>
      </c>
      <c r="H492" t="s">
        <v>96</v>
      </c>
      <c r="I492" t="str">
        <f t="shared" si="29"/>
        <v>2026-09</v>
      </c>
      <c r="J492" t="str">
        <f ca="1">IFERROR(_xludf.XLOOKUP(C492,'Agent Master'!$A:$A,'Agent Master'!$B:$B,"Missing"),"Missing")</f>
        <v>Missing</v>
      </c>
      <c r="K492" t="str">
        <f ca="1">IFERROR(_xludf.XLOOKUP(C492,'Agent Master'!$A:$A,'Agent Master'!$C:$C,"Missing"),"Missing")</f>
        <v>Missing</v>
      </c>
      <c r="L492" t="str">
        <f t="shared" si="30"/>
        <v>September</v>
      </c>
      <c r="M492" t="str">
        <f>_xlfn.XLOOKUP('Transaction Data'!D492,ProductMap[Product Code],ProductMap[Product Name])</f>
        <v>UPI</v>
      </c>
      <c r="N492" t="str">
        <f t="shared" si="31"/>
        <v>2026-09</v>
      </c>
      <c r="O492" t="str" cm="1">
        <f t="array" ref="O492">IFERROR(_xlfn.XLOOKUP(C492,AgentMaster[[#All],[Agent ID]],AgentMaster[[#All],[Agent Name]]),"")</f>
        <v>Agent 114</v>
      </c>
      <c r="P492">
        <f t="shared" si="32"/>
        <v>8</v>
      </c>
    </row>
    <row r="493" spans="1:16" x14ac:dyDescent="0.3">
      <c r="A493" t="s">
        <v>615</v>
      </c>
      <c r="B493" s="5">
        <v>46269</v>
      </c>
      <c r="C493" t="s">
        <v>89</v>
      </c>
      <c r="D493" t="s">
        <v>95</v>
      </c>
      <c r="E493">
        <v>7500</v>
      </c>
      <c r="F493" t="s">
        <v>72</v>
      </c>
      <c r="G493" t="s">
        <v>84</v>
      </c>
      <c r="H493" t="s">
        <v>96</v>
      </c>
      <c r="I493" t="str">
        <f t="shared" si="29"/>
        <v>2026-09</v>
      </c>
      <c r="J493" t="str">
        <f ca="1">IFERROR(_xludf.XLOOKUP(C493,'Agent Master'!$A:$A,'Agent Master'!$B:$B,"Missing"),"Missing")</f>
        <v>Missing</v>
      </c>
      <c r="K493" t="str">
        <f ca="1">IFERROR(_xludf.XLOOKUP(C493,'Agent Master'!$A:$A,'Agent Master'!$C:$C,"Missing"),"Missing")</f>
        <v>Missing</v>
      </c>
      <c r="L493" t="str">
        <f t="shared" si="30"/>
        <v>September</v>
      </c>
      <c r="M493" t="str">
        <f>_xlfn.XLOOKUP('Transaction Data'!D493,ProductMap[Product Code],ProductMap[Product Name])</f>
        <v>BBPS</v>
      </c>
      <c r="N493" t="str">
        <f t="shared" si="31"/>
        <v>2026-09</v>
      </c>
      <c r="O493" t="str" cm="1">
        <f t="array" ref="O493">IFERROR(_xlfn.XLOOKUP(C493,AgentMaster[[#All],[Agent ID]],AgentMaster[[#All],[Agent Name]]),"")</f>
        <v>Agent 118</v>
      </c>
      <c r="P493">
        <f t="shared" si="32"/>
        <v>11</v>
      </c>
    </row>
    <row r="494" spans="1:16" x14ac:dyDescent="0.3">
      <c r="A494" t="s">
        <v>616</v>
      </c>
      <c r="B494" s="5">
        <v>46253</v>
      </c>
      <c r="C494" t="s">
        <v>125</v>
      </c>
      <c r="D494" t="s">
        <v>87</v>
      </c>
      <c r="E494">
        <v>7500</v>
      </c>
      <c r="F494" t="s">
        <v>72</v>
      </c>
      <c r="G494" t="s">
        <v>73</v>
      </c>
      <c r="H494" t="s">
        <v>78</v>
      </c>
      <c r="I494" t="str">
        <f t="shared" si="29"/>
        <v>2026-08</v>
      </c>
      <c r="J494" t="str">
        <f ca="1">IFERROR(_xludf.XLOOKUP(C494,'Agent Master'!$A:$A,'Agent Master'!$B:$B,"Missing"),"Missing")</f>
        <v>Missing</v>
      </c>
      <c r="K494" t="str">
        <f ca="1">IFERROR(_xludf.XLOOKUP(C494,'Agent Master'!$A:$A,'Agent Master'!$C:$C,"Missing"),"Missing")</f>
        <v>Missing</v>
      </c>
      <c r="L494" t="str">
        <f t="shared" si="30"/>
        <v>August</v>
      </c>
      <c r="M494" t="str">
        <f>_xlfn.XLOOKUP('Transaction Data'!D494,ProductMap[Product Code],ProductMap[Product Name])</f>
        <v>APAY</v>
      </c>
      <c r="N494" t="str">
        <f t="shared" si="31"/>
        <v>2026-08</v>
      </c>
      <c r="O494" t="str" cm="1">
        <f t="array" ref="O494">IFERROR(_xlfn.XLOOKUP(C494,AgentMaster[[#All],[Agent ID]],AgentMaster[[#All],[Agent Name]]),"")</f>
        <v>Agent 137</v>
      </c>
      <c r="P494">
        <f t="shared" si="32"/>
        <v>11</v>
      </c>
    </row>
    <row r="495" spans="1:16" x14ac:dyDescent="0.3">
      <c r="A495" t="s">
        <v>617</v>
      </c>
      <c r="B495" s="5">
        <v>46293</v>
      </c>
      <c r="C495" t="s">
        <v>152</v>
      </c>
      <c r="D495" t="s">
        <v>87</v>
      </c>
      <c r="E495">
        <v>12500</v>
      </c>
      <c r="F495" t="s">
        <v>72</v>
      </c>
      <c r="G495" t="s">
        <v>73</v>
      </c>
      <c r="H495" t="s">
        <v>74</v>
      </c>
      <c r="I495" t="str">
        <f t="shared" si="29"/>
        <v>2026-09</v>
      </c>
      <c r="J495" t="str">
        <f ca="1">IFERROR(_xludf.XLOOKUP(C495,'Agent Master'!$A:$A,'Agent Master'!$B:$B,"Missing"),"Missing")</f>
        <v>Missing</v>
      </c>
      <c r="K495" t="str">
        <f ca="1">IFERROR(_xludf.XLOOKUP(C495,'Agent Master'!$A:$A,'Agent Master'!$C:$C,"Missing"),"Missing")</f>
        <v>Missing</v>
      </c>
      <c r="L495" t="str">
        <f t="shared" si="30"/>
        <v>September</v>
      </c>
      <c r="M495" t="str">
        <f>_xlfn.XLOOKUP('Transaction Data'!D495,ProductMap[Product Code],ProductMap[Product Name])</f>
        <v>APAY</v>
      </c>
      <c r="N495" t="str">
        <f t="shared" si="31"/>
        <v>2026-09</v>
      </c>
      <c r="O495" t="str" cm="1">
        <f t="array" ref="O495">IFERROR(_xlfn.XLOOKUP(C495,AgentMaster[[#All],[Agent ID]],AgentMaster[[#All],[Agent Name]]),"")</f>
        <v>Agent 104</v>
      </c>
      <c r="P495">
        <f t="shared" si="32"/>
        <v>6</v>
      </c>
    </row>
    <row r="496" spans="1:16" x14ac:dyDescent="0.3">
      <c r="A496" t="s">
        <v>618</v>
      </c>
      <c r="B496" s="5">
        <v>46250</v>
      </c>
      <c r="C496" t="s">
        <v>204</v>
      </c>
      <c r="D496" t="s">
        <v>77</v>
      </c>
      <c r="E496">
        <v>2000</v>
      </c>
      <c r="F496" t="s">
        <v>72</v>
      </c>
      <c r="G496" t="s">
        <v>73</v>
      </c>
      <c r="H496" t="s">
        <v>78</v>
      </c>
      <c r="I496" t="str">
        <f t="shared" si="29"/>
        <v>2026-08</v>
      </c>
      <c r="J496" t="str">
        <f ca="1">IFERROR(_xludf.XLOOKUP(C496,'Agent Master'!$A:$A,'Agent Master'!$B:$B,"Missing"),"Missing")</f>
        <v>Missing</v>
      </c>
      <c r="K496" t="str">
        <f ca="1">IFERROR(_xludf.XLOOKUP(C496,'Agent Master'!$A:$A,'Agent Master'!$C:$C,"Missing"),"Missing")</f>
        <v>Missing</v>
      </c>
      <c r="L496" t="str">
        <f t="shared" si="30"/>
        <v>August</v>
      </c>
      <c r="M496" t="str">
        <f>_xlfn.XLOOKUP('Transaction Data'!D496,ProductMap[Product Code],ProductMap[Product Name])</f>
        <v>MATM</v>
      </c>
      <c r="N496" t="str">
        <f t="shared" si="31"/>
        <v>2026-08</v>
      </c>
      <c r="O496" t="str" cm="1">
        <f t="array" ref="O496">IFERROR(_xlfn.XLOOKUP(C496,AgentMaster[[#All],[Agent ID]],AgentMaster[[#All],[Agent Name]]),"")</f>
        <v>Agent 110</v>
      </c>
      <c r="P496">
        <f t="shared" si="32"/>
        <v>17</v>
      </c>
    </row>
    <row r="497" spans="1:16" x14ac:dyDescent="0.3">
      <c r="A497" t="s">
        <v>619</v>
      </c>
      <c r="B497" s="5">
        <v>46266</v>
      </c>
      <c r="C497" t="s">
        <v>204</v>
      </c>
      <c r="D497" t="s">
        <v>95</v>
      </c>
      <c r="E497">
        <v>12500</v>
      </c>
      <c r="F497" t="s">
        <v>72</v>
      </c>
      <c r="G497" t="s">
        <v>73</v>
      </c>
      <c r="H497" t="s">
        <v>78</v>
      </c>
      <c r="I497" t="str">
        <f t="shared" si="29"/>
        <v>2026-09</v>
      </c>
      <c r="J497" t="str">
        <f ca="1">IFERROR(_xludf.XLOOKUP(C497,'Agent Master'!$A:$A,'Agent Master'!$B:$B,"Missing"),"Missing")</f>
        <v>Missing</v>
      </c>
      <c r="K497" t="str">
        <f ca="1">IFERROR(_xludf.XLOOKUP(C497,'Agent Master'!$A:$A,'Agent Master'!$C:$C,"Missing"),"Missing")</f>
        <v>Missing</v>
      </c>
      <c r="L497" t="str">
        <f t="shared" si="30"/>
        <v>September</v>
      </c>
      <c r="M497" t="str">
        <f>_xlfn.XLOOKUP('Transaction Data'!D497,ProductMap[Product Code],ProductMap[Product Name])</f>
        <v>BBPS</v>
      </c>
      <c r="N497" t="str">
        <f t="shared" si="31"/>
        <v>2026-09</v>
      </c>
      <c r="O497" t="str" cm="1">
        <f t="array" ref="O497">IFERROR(_xlfn.XLOOKUP(C497,AgentMaster[[#All],[Agent ID]],AgentMaster[[#All],[Agent Name]]),"")</f>
        <v>Agent 110</v>
      </c>
      <c r="P497">
        <f t="shared" si="32"/>
        <v>17</v>
      </c>
    </row>
    <row r="498" spans="1:16" x14ac:dyDescent="0.3">
      <c r="A498" t="s">
        <v>620</v>
      </c>
      <c r="B498" s="5">
        <v>46259</v>
      </c>
      <c r="C498" t="s">
        <v>172</v>
      </c>
      <c r="D498" t="s">
        <v>71</v>
      </c>
      <c r="E498">
        <v>12500</v>
      </c>
      <c r="F498" t="s">
        <v>72</v>
      </c>
      <c r="G498" t="s">
        <v>84</v>
      </c>
      <c r="H498" t="s">
        <v>96</v>
      </c>
      <c r="I498" t="str">
        <f t="shared" si="29"/>
        <v>2026-08</v>
      </c>
      <c r="J498" t="str">
        <f ca="1">IFERROR(_xludf.XLOOKUP(C498,'Agent Master'!$A:$A,'Agent Master'!$B:$B,"Missing"),"Missing")</f>
        <v>Missing</v>
      </c>
      <c r="K498" t="str">
        <f ca="1">IFERROR(_xludf.XLOOKUP(C498,'Agent Master'!$A:$A,'Agent Master'!$C:$C,"Missing"),"Missing")</f>
        <v>Missing</v>
      </c>
      <c r="L498" t="str">
        <f t="shared" si="30"/>
        <v>August</v>
      </c>
      <c r="M498" t="str">
        <f>_xlfn.XLOOKUP('Transaction Data'!D498,ProductMap[Product Code],ProductMap[Product Name])</f>
        <v>AEPS</v>
      </c>
      <c r="N498" t="str">
        <f t="shared" si="31"/>
        <v>2026-08</v>
      </c>
      <c r="O498" t="str" cm="1">
        <f t="array" ref="O498">IFERROR(_xlfn.XLOOKUP(C498,AgentMaster[[#All],[Agent ID]],AgentMaster[[#All],[Agent Name]]),"")</f>
        <v>Agent 129</v>
      </c>
      <c r="P498">
        <f t="shared" si="32"/>
        <v>18</v>
      </c>
    </row>
    <row r="499" spans="1:16" x14ac:dyDescent="0.3">
      <c r="A499" t="s">
        <v>621</v>
      </c>
      <c r="B499" s="5">
        <v>46279</v>
      </c>
      <c r="C499" t="s">
        <v>122</v>
      </c>
      <c r="D499" t="s">
        <v>110</v>
      </c>
      <c r="E499">
        <v>5000</v>
      </c>
      <c r="F499" t="s">
        <v>72</v>
      </c>
      <c r="G499" t="s">
        <v>73</v>
      </c>
      <c r="H499" t="s">
        <v>81</v>
      </c>
      <c r="I499" t="str">
        <f t="shared" si="29"/>
        <v>2026-09</v>
      </c>
      <c r="J499" t="str">
        <f ca="1">IFERROR(_xludf.XLOOKUP(C499,'Agent Master'!$A:$A,'Agent Master'!$B:$B,"Missing"),"Missing")</f>
        <v>Missing</v>
      </c>
      <c r="K499" t="str">
        <f ca="1">IFERROR(_xludf.XLOOKUP(C499,'Agent Master'!$A:$A,'Agent Master'!$C:$C,"Missing"),"Missing")</f>
        <v>Missing</v>
      </c>
      <c r="L499" t="str">
        <f t="shared" si="30"/>
        <v>September</v>
      </c>
      <c r="M499" t="str">
        <f>_xlfn.XLOOKUP('Transaction Data'!D499,ProductMap[Product Code],ProductMap[Product Name])</f>
        <v>DMT</v>
      </c>
      <c r="N499" t="str">
        <f t="shared" si="31"/>
        <v>2026-09</v>
      </c>
      <c r="O499" t="str" cm="1">
        <f t="array" ref="O499">IFERROR(_xlfn.XLOOKUP(C499,AgentMaster[[#All],[Agent ID]],AgentMaster[[#All],[Agent Name]]),"")</f>
        <v>Agent 124</v>
      </c>
      <c r="P499">
        <f t="shared" si="32"/>
        <v>11</v>
      </c>
    </row>
    <row r="500" spans="1:16" x14ac:dyDescent="0.3">
      <c r="A500" t="s">
        <v>622</v>
      </c>
      <c r="B500" s="5">
        <v>46290</v>
      </c>
      <c r="C500" t="s">
        <v>157</v>
      </c>
      <c r="D500" t="s">
        <v>77</v>
      </c>
      <c r="E500">
        <v>5000</v>
      </c>
      <c r="F500" t="s">
        <v>72</v>
      </c>
      <c r="G500" t="s">
        <v>73</v>
      </c>
      <c r="H500" t="s">
        <v>78</v>
      </c>
      <c r="I500" t="str">
        <f t="shared" si="29"/>
        <v>2026-09</v>
      </c>
      <c r="J500" t="str">
        <f ca="1">IFERROR(_xludf.XLOOKUP(C500,'Agent Master'!$A:$A,'Agent Master'!$B:$B,"Missing"),"Missing")</f>
        <v>Missing</v>
      </c>
      <c r="K500" t="str">
        <f ca="1">IFERROR(_xludf.XLOOKUP(C500,'Agent Master'!$A:$A,'Agent Master'!$C:$C,"Missing"),"Missing")</f>
        <v>Missing</v>
      </c>
      <c r="L500" t="str">
        <f t="shared" si="30"/>
        <v>September</v>
      </c>
      <c r="M500" t="str">
        <f>_xlfn.XLOOKUP('Transaction Data'!D500,ProductMap[Product Code],ProductMap[Product Name])</f>
        <v>MATM</v>
      </c>
      <c r="N500" t="str">
        <f t="shared" si="31"/>
        <v>2026-09</v>
      </c>
      <c r="O500" t="str" cm="1">
        <f t="array" ref="O500">IFERROR(_xlfn.XLOOKUP(C500,AgentMaster[[#All],[Agent ID]],AgentMaster[[#All],[Agent Name]]),"")</f>
        <v>Agent 106</v>
      </c>
      <c r="P500">
        <f t="shared" si="32"/>
        <v>8</v>
      </c>
    </row>
    <row r="501" spans="1:16" x14ac:dyDescent="0.3">
      <c r="A501" t="s">
        <v>623</v>
      </c>
      <c r="B501" s="5">
        <v>46248</v>
      </c>
      <c r="C501" t="s">
        <v>139</v>
      </c>
      <c r="D501" t="s">
        <v>90</v>
      </c>
      <c r="E501">
        <v>5000</v>
      </c>
      <c r="F501" t="s">
        <v>72</v>
      </c>
      <c r="G501" t="s">
        <v>84</v>
      </c>
      <c r="H501" t="s">
        <v>96</v>
      </c>
      <c r="I501" t="str">
        <f t="shared" si="29"/>
        <v>2026-08</v>
      </c>
      <c r="J501" t="str">
        <f ca="1">IFERROR(_xludf.XLOOKUP(C501,'Agent Master'!$A:$A,'Agent Master'!$B:$B,"Missing"),"Missing")</f>
        <v>Missing</v>
      </c>
      <c r="K501" t="str">
        <f ca="1">IFERROR(_xludf.XLOOKUP(C501,'Agent Master'!$A:$A,'Agent Master'!$C:$C,"Missing"),"Missing")</f>
        <v>Missing</v>
      </c>
      <c r="L501" t="str">
        <f t="shared" si="30"/>
        <v>August</v>
      </c>
      <c r="M501" t="str">
        <f>_xlfn.XLOOKUP('Transaction Data'!D501,ProductMap[Product Code],ProductMap[Product Name])</f>
        <v>UPI</v>
      </c>
      <c r="N501" t="str">
        <f t="shared" si="31"/>
        <v>2026-08</v>
      </c>
      <c r="O501" t="str" cm="1">
        <f t="array" ref="O501">IFERROR(_xlfn.XLOOKUP(C501,AgentMaster[[#All],[Agent ID]],AgentMaster[[#All],[Agent Name]]),"")</f>
        <v>Agent 128</v>
      </c>
      <c r="P501">
        <f t="shared" si="32"/>
        <v>16</v>
      </c>
    </row>
  </sheetData>
  <conditionalFormatting sqref="E1:E1048576">
    <cfRule type="cellIs" dxfId="0" priority="1" operator="greaterThan">
      <formula>10000</formula>
    </cfRule>
  </conditionalFormatting>
  <conditionalFormatting sqref="E2:E501">
    <cfRule type="colorScale" priority="2">
      <colorScale>
        <cfvo type="min"/>
        <cfvo type="percentile" val="50"/>
        <cfvo type="max"/>
        <color rgb="FFFEE2E2"/>
        <color rgb="FFFFF2CC"/>
        <color rgb="FF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showGridLines="0" workbookViewId="0">
      <pane ySplit="3" topLeftCell="A4" activePane="bottomLeft" state="frozen"/>
      <selection pane="bottomLeft" activeCell="C20" sqref="C20"/>
    </sheetView>
  </sheetViews>
  <sheetFormatPr defaultRowHeight="14.4" x14ac:dyDescent="0.3"/>
  <cols>
    <col min="1" max="1" width="14" customWidth="1"/>
    <col min="2" max="2" width="12" customWidth="1"/>
    <col min="3" max="4" width="13" customWidth="1"/>
  </cols>
  <sheetData>
    <row r="1" spans="1:4" ht="21" x14ac:dyDescent="0.4">
      <c r="A1" s="10" t="s">
        <v>624</v>
      </c>
      <c r="B1" s="11"/>
      <c r="C1" s="11"/>
      <c r="D1" s="11"/>
    </row>
    <row r="3" spans="1:4" x14ac:dyDescent="0.3">
      <c r="A3" s="4" t="s">
        <v>60</v>
      </c>
      <c r="B3" s="4" t="s">
        <v>67</v>
      </c>
      <c r="C3" s="4" t="s">
        <v>68</v>
      </c>
      <c r="D3" s="4" t="s">
        <v>625</v>
      </c>
    </row>
    <row r="4" spans="1:4" x14ac:dyDescent="0.3">
      <c r="A4" t="s">
        <v>117</v>
      </c>
      <c r="B4" t="s">
        <v>626</v>
      </c>
      <c r="C4" t="s">
        <v>627</v>
      </c>
      <c r="D4" t="s">
        <v>628</v>
      </c>
    </row>
    <row r="5" spans="1:4" x14ac:dyDescent="0.3">
      <c r="A5" t="s">
        <v>80</v>
      </c>
      <c r="B5" t="s">
        <v>629</v>
      </c>
      <c r="C5" t="s">
        <v>630</v>
      </c>
      <c r="D5" t="s">
        <v>631</v>
      </c>
    </row>
    <row r="6" spans="1:4" x14ac:dyDescent="0.3">
      <c r="A6" t="s">
        <v>134</v>
      </c>
      <c r="B6" t="s">
        <v>632</v>
      </c>
      <c r="C6" t="s">
        <v>633</v>
      </c>
      <c r="D6" t="s">
        <v>634</v>
      </c>
    </row>
    <row r="7" spans="1:4" x14ac:dyDescent="0.3">
      <c r="A7" t="s">
        <v>152</v>
      </c>
      <c r="B7" t="s">
        <v>635</v>
      </c>
      <c r="C7" t="s">
        <v>636</v>
      </c>
      <c r="D7" t="s">
        <v>637</v>
      </c>
    </row>
    <row r="8" spans="1:4" x14ac:dyDescent="0.3">
      <c r="A8" t="s">
        <v>108</v>
      </c>
      <c r="B8" t="s">
        <v>638</v>
      </c>
      <c r="C8" t="s">
        <v>639</v>
      </c>
      <c r="D8" t="s">
        <v>640</v>
      </c>
    </row>
    <row r="9" spans="1:4" x14ac:dyDescent="0.3">
      <c r="A9" t="s">
        <v>157</v>
      </c>
      <c r="B9" t="s">
        <v>641</v>
      </c>
      <c r="C9" t="s">
        <v>627</v>
      </c>
      <c r="D9" t="s">
        <v>628</v>
      </c>
    </row>
    <row r="10" spans="1:4" x14ac:dyDescent="0.3">
      <c r="A10" t="s">
        <v>76</v>
      </c>
      <c r="B10" t="s">
        <v>642</v>
      </c>
      <c r="C10" t="s">
        <v>630</v>
      </c>
      <c r="D10" t="s">
        <v>631</v>
      </c>
    </row>
    <row r="11" spans="1:4" x14ac:dyDescent="0.3">
      <c r="A11" t="s">
        <v>70</v>
      </c>
      <c r="B11" t="s">
        <v>643</v>
      </c>
      <c r="C11" t="s">
        <v>633</v>
      </c>
      <c r="D11" t="s">
        <v>634</v>
      </c>
    </row>
    <row r="12" spans="1:4" x14ac:dyDescent="0.3">
      <c r="A12" t="s">
        <v>161</v>
      </c>
      <c r="B12" t="s">
        <v>644</v>
      </c>
      <c r="C12" t="s">
        <v>636</v>
      </c>
      <c r="D12" t="s">
        <v>637</v>
      </c>
    </row>
    <row r="13" spans="1:4" x14ac:dyDescent="0.3">
      <c r="A13" t="s">
        <v>204</v>
      </c>
      <c r="B13" t="s">
        <v>645</v>
      </c>
      <c r="C13" t="s">
        <v>639</v>
      </c>
      <c r="D13" t="s">
        <v>640</v>
      </c>
    </row>
    <row r="14" spans="1:4" x14ac:dyDescent="0.3">
      <c r="A14" t="s">
        <v>199</v>
      </c>
      <c r="B14" t="s">
        <v>646</v>
      </c>
      <c r="C14" t="s">
        <v>627</v>
      </c>
      <c r="D14" t="s">
        <v>628</v>
      </c>
    </row>
    <row r="15" spans="1:4" x14ac:dyDescent="0.3">
      <c r="A15" t="s">
        <v>178</v>
      </c>
      <c r="B15" t="s">
        <v>647</v>
      </c>
      <c r="C15" t="s">
        <v>630</v>
      </c>
      <c r="D15" t="s">
        <v>631</v>
      </c>
    </row>
    <row r="16" spans="1:4" x14ac:dyDescent="0.3">
      <c r="A16" t="s">
        <v>83</v>
      </c>
      <c r="B16" t="s">
        <v>648</v>
      </c>
      <c r="C16" t="s">
        <v>633</v>
      </c>
      <c r="D16" t="s">
        <v>634</v>
      </c>
    </row>
    <row r="17" spans="1:4" x14ac:dyDescent="0.3">
      <c r="A17" t="s">
        <v>150</v>
      </c>
      <c r="B17" t="s">
        <v>649</v>
      </c>
      <c r="C17" t="s">
        <v>636</v>
      </c>
      <c r="D17" t="s">
        <v>637</v>
      </c>
    </row>
    <row r="18" spans="1:4" x14ac:dyDescent="0.3">
      <c r="A18" t="s">
        <v>100</v>
      </c>
      <c r="B18" t="s">
        <v>650</v>
      </c>
      <c r="C18" t="s">
        <v>639</v>
      </c>
      <c r="D18" t="s">
        <v>640</v>
      </c>
    </row>
    <row r="19" spans="1:4" x14ac:dyDescent="0.3">
      <c r="A19" t="s">
        <v>104</v>
      </c>
      <c r="B19" t="s">
        <v>651</v>
      </c>
      <c r="C19" t="s">
        <v>627</v>
      </c>
      <c r="D19" t="s">
        <v>628</v>
      </c>
    </row>
    <row r="20" spans="1:4" x14ac:dyDescent="0.3">
      <c r="A20" t="s">
        <v>159</v>
      </c>
      <c r="B20" t="s">
        <v>652</v>
      </c>
      <c r="C20" t="s">
        <v>630</v>
      </c>
      <c r="D20" t="s">
        <v>631</v>
      </c>
    </row>
    <row r="21" spans="1:4" x14ac:dyDescent="0.3">
      <c r="A21" t="s">
        <v>89</v>
      </c>
      <c r="B21" t="s">
        <v>653</v>
      </c>
      <c r="C21" t="s">
        <v>633</v>
      </c>
      <c r="D21" t="s">
        <v>634</v>
      </c>
    </row>
    <row r="22" spans="1:4" x14ac:dyDescent="0.3">
      <c r="A22" t="s">
        <v>242</v>
      </c>
      <c r="B22" t="s">
        <v>654</v>
      </c>
      <c r="C22" t="s">
        <v>636</v>
      </c>
      <c r="D22" t="s">
        <v>637</v>
      </c>
    </row>
    <row r="23" spans="1:4" x14ac:dyDescent="0.3">
      <c r="A23" t="s">
        <v>193</v>
      </c>
      <c r="B23" t="s">
        <v>655</v>
      </c>
      <c r="C23" t="s">
        <v>639</v>
      </c>
      <c r="D23" t="s">
        <v>640</v>
      </c>
    </row>
    <row r="24" spans="1:4" x14ac:dyDescent="0.3">
      <c r="A24" t="s">
        <v>106</v>
      </c>
      <c r="B24" t="s">
        <v>656</v>
      </c>
      <c r="C24" t="s">
        <v>627</v>
      </c>
      <c r="D24" t="s">
        <v>628</v>
      </c>
    </row>
    <row r="25" spans="1:4" x14ac:dyDescent="0.3">
      <c r="A25" t="s">
        <v>191</v>
      </c>
      <c r="B25" t="s">
        <v>657</v>
      </c>
      <c r="C25" t="s">
        <v>630</v>
      </c>
      <c r="D25" t="s">
        <v>631</v>
      </c>
    </row>
    <row r="26" spans="1:4" x14ac:dyDescent="0.3">
      <c r="A26" t="s">
        <v>216</v>
      </c>
      <c r="B26" t="s">
        <v>658</v>
      </c>
      <c r="C26" t="s">
        <v>633</v>
      </c>
      <c r="D26" t="s">
        <v>634</v>
      </c>
    </row>
    <row r="27" spans="1:4" x14ac:dyDescent="0.3">
      <c r="A27" t="s">
        <v>122</v>
      </c>
      <c r="B27" t="s">
        <v>659</v>
      </c>
      <c r="C27" t="s">
        <v>636</v>
      </c>
      <c r="D27" t="s">
        <v>637</v>
      </c>
    </row>
    <row r="28" spans="1:4" x14ac:dyDescent="0.3">
      <c r="A28" t="s">
        <v>147</v>
      </c>
      <c r="B28" t="s">
        <v>660</v>
      </c>
      <c r="C28" t="s">
        <v>639</v>
      </c>
      <c r="D28" t="s">
        <v>640</v>
      </c>
    </row>
    <row r="29" spans="1:4" x14ac:dyDescent="0.3">
      <c r="A29" t="s">
        <v>141</v>
      </c>
      <c r="B29" t="s">
        <v>661</v>
      </c>
      <c r="C29" t="s">
        <v>627</v>
      </c>
      <c r="D29" t="s">
        <v>628</v>
      </c>
    </row>
    <row r="30" spans="1:4" x14ac:dyDescent="0.3">
      <c r="A30" t="s">
        <v>180</v>
      </c>
      <c r="B30" t="s">
        <v>662</v>
      </c>
      <c r="C30" t="s">
        <v>630</v>
      </c>
      <c r="D30" t="s">
        <v>631</v>
      </c>
    </row>
    <row r="31" spans="1:4" x14ac:dyDescent="0.3">
      <c r="A31" t="s">
        <v>139</v>
      </c>
      <c r="B31" t="s">
        <v>663</v>
      </c>
      <c r="C31" t="s">
        <v>633</v>
      </c>
      <c r="D31" t="s">
        <v>634</v>
      </c>
    </row>
    <row r="32" spans="1:4" x14ac:dyDescent="0.3">
      <c r="A32" t="s">
        <v>172</v>
      </c>
      <c r="B32" t="s">
        <v>664</v>
      </c>
      <c r="C32" t="s">
        <v>636</v>
      </c>
      <c r="D32" t="s">
        <v>637</v>
      </c>
    </row>
    <row r="33" spans="1:4" x14ac:dyDescent="0.3">
      <c r="A33" t="s">
        <v>94</v>
      </c>
      <c r="B33" t="s">
        <v>665</v>
      </c>
      <c r="C33" t="s">
        <v>639</v>
      </c>
      <c r="D33" t="s">
        <v>640</v>
      </c>
    </row>
    <row r="34" spans="1:4" x14ac:dyDescent="0.3">
      <c r="A34" t="s">
        <v>127</v>
      </c>
      <c r="B34" t="s">
        <v>666</v>
      </c>
      <c r="C34" t="s">
        <v>627</v>
      </c>
      <c r="D34" t="s">
        <v>628</v>
      </c>
    </row>
    <row r="35" spans="1:4" x14ac:dyDescent="0.3">
      <c r="A35" t="s">
        <v>136</v>
      </c>
      <c r="B35" t="s">
        <v>667</v>
      </c>
      <c r="C35" t="s">
        <v>630</v>
      </c>
      <c r="D35" t="s">
        <v>631</v>
      </c>
    </row>
    <row r="36" spans="1:4" x14ac:dyDescent="0.3">
      <c r="A36" t="s">
        <v>154</v>
      </c>
      <c r="B36" t="s">
        <v>668</v>
      </c>
      <c r="C36" t="s">
        <v>633</v>
      </c>
      <c r="D36" t="s">
        <v>634</v>
      </c>
    </row>
    <row r="37" spans="1:4" x14ac:dyDescent="0.3">
      <c r="A37" t="s">
        <v>189</v>
      </c>
      <c r="B37" t="s">
        <v>669</v>
      </c>
      <c r="C37" t="s">
        <v>636</v>
      </c>
      <c r="D37" t="s">
        <v>637</v>
      </c>
    </row>
    <row r="38" spans="1:4" x14ac:dyDescent="0.3">
      <c r="A38" t="s">
        <v>129</v>
      </c>
      <c r="B38" t="s">
        <v>670</v>
      </c>
      <c r="C38" t="s">
        <v>639</v>
      </c>
      <c r="D38" t="s">
        <v>640</v>
      </c>
    </row>
    <row r="39" spans="1:4" x14ac:dyDescent="0.3">
      <c r="A39" t="s">
        <v>112</v>
      </c>
      <c r="B39" t="s">
        <v>671</v>
      </c>
      <c r="C39" t="s">
        <v>627</v>
      </c>
      <c r="D39" t="s">
        <v>628</v>
      </c>
    </row>
    <row r="40" spans="1:4" x14ac:dyDescent="0.3">
      <c r="A40" t="s">
        <v>125</v>
      </c>
      <c r="B40" t="s">
        <v>672</v>
      </c>
      <c r="C40" t="s">
        <v>630</v>
      </c>
      <c r="D40" t="s">
        <v>631</v>
      </c>
    </row>
    <row r="41" spans="1:4" x14ac:dyDescent="0.3">
      <c r="A41" t="s">
        <v>86</v>
      </c>
      <c r="B41" t="s">
        <v>673</v>
      </c>
      <c r="C41" t="s">
        <v>633</v>
      </c>
      <c r="D41" t="s">
        <v>634</v>
      </c>
    </row>
    <row r="42" spans="1:4" x14ac:dyDescent="0.3">
      <c r="A42" t="s">
        <v>255</v>
      </c>
      <c r="B42" t="s">
        <v>674</v>
      </c>
      <c r="C42" t="s">
        <v>636</v>
      </c>
      <c r="D42" t="s">
        <v>637</v>
      </c>
    </row>
    <row r="43" spans="1:4" x14ac:dyDescent="0.3">
      <c r="A43" t="s">
        <v>236</v>
      </c>
      <c r="B43" t="s">
        <v>675</v>
      </c>
      <c r="C43" t="s">
        <v>639</v>
      </c>
      <c r="D43" t="s">
        <v>640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workbookViewId="0">
      <selection activeCell="B7" sqref="B7"/>
    </sheetView>
  </sheetViews>
  <sheetFormatPr defaultRowHeight="14.4" x14ac:dyDescent="0.3"/>
  <cols>
    <col min="1" max="1" width="17" customWidth="1"/>
    <col min="2" max="2" width="14" customWidth="1"/>
    <col min="3" max="3" width="12" customWidth="1"/>
  </cols>
  <sheetData>
    <row r="1" spans="1:3" ht="21" x14ac:dyDescent="0.4">
      <c r="A1" s="10" t="s">
        <v>676</v>
      </c>
      <c r="B1" s="11"/>
      <c r="C1" s="11"/>
    </row>
    <row r="3" spans="1:3" x14ac:dyDescent="0.3">
      <c r="A3" s="4" t="s">
        <v>61</v>
      </c>
      <c r="B3" s="4" t="s">
        <v>677</v>
      </c>
      <c r="C3" s="4" t="s">
        <v>678</v>
      </c>
    </row>
    <row r="4" spans="1:3" x14ac:dyDescent="0.3">
      <c r="A4" t="s">
        <v>71</v>
      </c>
      <c r="B4" t="s">
        <v>679</v>
      </c>
      <c r="C4" t="s">
        <v>680</v>
      </c>
    </row>
    <row r="5" spans="1:3" x14ac:dyDescent="0.3">
      <c r="A5" t="s">
        <v>90</v>
      </c>
      <c r="B5" t="s">
        <v>681</v>
      </c>
      <c r="C5" t="s">
        <v>682</v>
      </c>
    </row>
    <row r="6" spans="1:3" x14ac:dyDescent="0.3">
      <c r="A6" t="s">
        <v>87</v>
      </c>
      <c r="B6" t="s">
        <v>683</v>
      </c>
      <c r="C6" t="s">
        <v>680</v>
      </c>
    </row>
    <row r="7" spans="1:3" x14ac:dyDescent="0.3">
      <c r="A7" t="s">
        <v>110</v>
      </c>
      <c r="B7" t="s">
        <v>684</v>
      </c>
      <c r="C7" t="s">
        <v>685</v>
      </c>
    </row>
    <row r="8" spans="1:3" x14ac:dyDescent="0.3">
      <c r="A8" t="s">
        <v>95</v>
      </c>
      <c r="B8" t="s">
        <v>686</v>
      </c>
      <c r="C8" t="s">
        <v>687</v>
      </c>
    </row>
    <row r="9" spans="1:3" x14ac:dyDescent="0.3">
      <c r="A9" t="s">
        <v>77</v>
      </c>
      <c r="B9" t="s">
        <v>688</v>
      </c>
      <c r="C9" t="s">
        <v>680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Candidate Test</vt:lpstr>
      <vt:lpstr>Sheet1</vt:lpstr>
      <vt:lpstr>Sheet2</vt:lpstr>
      <vt:lpstr>Transaction Data</vt:lpstr>
      <vt:lpstr>Agent Master</vt:lpstr>
      <vt:lpstr>Product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Executive Excel &amp; Analytical Skills Assessment</dc:title>
  <dc:subject>Practical Excel and analytical assessment for MIS Executive interviews</dc:subject>
  <dc:creator>OpenAI</dc:creator>
  <cp:lastModifiedBy>Abhinav Jha</cp:lastModifiedBy>
  <dcterms:created xsi:type="dcterms:W3CDTF">2026-09-26T06:47:13Z</dcterms:created>
  <dcterms:modified xsi:type="dcterms:W3CDTF">2026-09-27T12:37:08Z</dcterms:modified>
</cp:coreProperties>
</file>